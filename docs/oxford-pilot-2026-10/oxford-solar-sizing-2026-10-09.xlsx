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hod" sheetId="1" state="visible" r:id="rId3"/>
    <sheet name="Inputs" sheetId="2" state="visible" r:id="rId4"/>
    <sheet name="Results" sheetId="3" state="visible" r:id="rId5"/>
    <sheet name="Calculation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<sst xmlns="http://schemas.openxmlformats.org/spreadsheetml/2006/main" count="473" uniqueCount="230">
  <si>
    <t xml:space="preserve">Method: indicative rooftop solar sizing, generation, savings, payback and CO2 for 20 Oxford sites</t>
  </si>
  <si>
    <t xml:space="preserve">OZ. Prepared 9 October 2026; checked by Zara Pashov, 10 October 2026. Workbook sheets: Method (this sheet), Inputs (every number and its source), Results (one row per site), Calculations (every step, every scenario).</t>
  </si>
  <si>
    <t xml:space="preserve">1. Purpose and status</t>
  </si>
  <si>
    <t xml:space="preserve">To give an installer an indicative, desktop-derived estimate of system size, year-1 generation, annual saving, simple payback and CO2 avoided for 20 commercial roofs in Oxford City. These are not quotes. No site visit, meter data, structural check or grid-connection check has been made.</t>
  </si>
  <si>
    <t xml:space="preserve">2. How the 20 sites were chosen (summary)</t>
  </si>
  <si>
    <t xml:space="preserve">Buildings were ranked with the OZ scorecard v0.3 (roof footprint area and site gap), the method that won the OZ arena run on 2 October 2026, using OpenStreetMap building outlines for Oxford City (local authority E07000178). Buildings with solar already mapped in OpenStreetMap, and sites with their own rooftop solar record in the Renewable Energy Planning Database, were removed. Zara Pashov checked the top 50 sites and 16 further large roofs on satellite imagery on 7 October 2026 and chose these 20: no panels visible, roof judged usable, occupier identified, a mix of sectors.</t>
  </si>
  <si>
    <t xml:space="preserve">3. Decisions taken (Zara Pashov, 9 October 2026)</t>
  </si>
  <si>
    <t xml:space="preserve">a) Roof area: main building only (the one checked on satellite). Four sites have more buildings; these are not included.</t>
  </si>
  <si>
    <t xml:space="preserve">b) Sizing: roof-limited, i.e. what the usable roof can physically hold. Results above 1 MWp are flagged as likely limited by site demand or grid capacity.</t>
  </si>
  <si>
    <t xml:space="preserve">c) Self-consumption: the same three scenario values for every site (40% / 60% / 80%); no published source gives this by sector.</t>
  </si>
  <si>
    <t xml:space="preserve">d) Carbon: UK grid-average factor (DESNZ conversion factors), as businesses use for their own carbon reporting.</t>
  </si>
  <si>
    <t xml:space="preserve">e) Costs: published commercial price range for capital cost; official DECC 2015 running costs; DESNZ average business electricity price; business export tariffs from Ofgem's Smart Export Guarantee report.</t>
  </si>
  <si>
    <t xml:space="preserve">f) Unipart Logistics Cowley: roof area shown, sizing pending, because its roofs are angled and the planes have not been measured. The coverage values used here come from studies of flat roofs.</t>
  </si>
  <si>
    <t xml:space="preserve">g) Sainsbury's: roof area is Zara's measurement on satellite imagery (5,488 m²), not the OpenStreetMap outline (8,401 m²).</t>
  </si>
  <si>
    <t xml:space="preserve">4. Calculation, step by step (symbols as on the Inputs sheet)</t>
  </si>
  <si>
    <t xml:space="preserve">Step 1. Roof area A (m²): OpenStreetMap footprint of the main building (plan area). For flat roofs, plan area and roof area are the same.</t>
  </si>
  <si>
    <t xml:space="preserve">Step 2. System size (kWp) = A × f × rho ÷ 1,000, where f is the share of roof covered by panels and rho is the module power density in W per m² of module.</t>
  </si>
  <si>
    <t xml:space="preserve">Step 3. Generation (kWh/yr) = system size × Y, where Y is the PVGIS specific yield for Oxford (kWh per kWp per year).</t>
  </si>
  <si>
    <t xml:space="preserve">Step 4. Used on site (kWh/yr) = generation × s; exported (kWh/yr) = generation × (1 − s), where s is the self-consumption share.</t>
  </si>
  <si>
    <t xml:space="preserve">Step 5. Gross saving (£/yr) = (used on site × p_imp + exported × p_exp) ÷ 100, with prices in pence per kWh.</t>
  </si>
  <si>
    <t xml:space="preserve">Step 6. O&amp;M cost (£/yr) = system size × o. Net saving (£/yr) = gross saving − O&amp;M cost.</t>
  </si>
  <si>
    <t xml:space="preserve">Step 7. Capital cost (£) = system size × c. Simple payback (years) = capital cost ÷ net saving.</t>
  </si>
  <si>
    <t xml:space="preserve">Step 8. CO2e avoided (t/yr) = generation × g ÷ 1,000, where g is the grid-average carbon factor. It is applied to all generation, used or exported, since both displace grid electricity at the grid-average rate.</t>
  </si>
  <si>
    <t xml:space="preserve">5. Scenarios</t>
  </si>
  <si>
    <t xml:space="preserve">Each scenario sets every input to the same side, so Low is pessimistic on all of them and High optimistic on all of them: Low = least roof covered (29.4%), least self-use (40%), lowest export price (3.0 p), highest capital cost (£1,100/kWp), highest running cost (£11.4/kW/yr). Central = 40%, 60%, 4.1 p, £900, £9.5. High = 46.2%, 80%, 4.1 p, £700, £7.6. The electricity price (24.51 p), yield (922.3 kWh/kWp), power density (230 W/m²) and carbon factor are the same in all three.</t>
  </si>
  <si>
    <t xml:space="preserve">Because every input except roof area is the same for all sites, payback is identical across sites within a scenario. Size, generation, savings and CO2 scale with roof area. Site-specific payback needs site data, above all each site's daytime demand.</t>
  </si>
  <si>
    <t xml:space="preserve">6. Limitations</t>
  </si>
  <si>
    <t xml:space="preserve">1. Roof area comes from OpenStreetMap outlines (plan area), which can include canopies or adjoining structures, as at Sainsbury's. Roof condition, structural capacity, rooflights, plant and shading were judged only by eye on satellite imagery.</t>
  </si>
  <si>
    <t xml:space="preserve">2. The coverage shares come from European and US studies of flat roofs (Bódis et al. 2019; Kakoulaki et al. 2026; Gagnon et al. 2016), not from UK surveys of these buildings. They assume south-facing racks at 15–20°, while the yield uses a 10° tilt.</t>
  </si>
  <si>
    <t xml:space="preserve">3. Self-consumption is an assumption, not data. It is the largest single driver of savings and payback.</t>
  </si>
  <si>
    <t xml:space="preserve">4. The electricity price is the all-business average for Q2 2026. Larger consumers pay less per kWh, and it has not been confirmed whether the average includes fixed charges that solar does not avoid. Prices change every quarter.</t>
  </si>
  <si>
    <t xml:space="preserve">5. The capital cost range is a trade source, and running costs are 2014 prices, not inflated. No official cost figure for commercial rooftop PV newer than 2015 was found.</t>
  </si>
  <si>
    <t xml:space="preserve">6. Results are for year 1: no degradation (median 0.5%/yr, Jordan and Kurtz 2013), price changes, financing, tax allowances, inverter replacement timing or discounting. Simple payback is not a full investment appraisal.</t>
  </si>
  <si>
    <t xml:space="preserve">7. Business rates: rooftop solar in England is exempt from business rates from 1 April 2022 to 31 March 2035 (SI 2022/405, Explanatory Memorandum), so no rates cost is included.</t>
  </si>
  <si>
    <t xml:space="preserve">8. Systems are sized to the roof, not to demand or grid capacity. Large systems may need a grid application and may be limited by the local network.</t>
  </si>
  <si>
    <t xml:space="preserve">7. Still to confirm before sharing</t>
  </si>
  <si>
    <t xml:space="preserve">a) Specific yield. Open the PVGIS web tool (re.jrc.ec.europa.eu/pvg_tools), choose Grid-connected PV, enter latitude 51.7514, longitude −1.2407, installed peak power 1 kWp, system loss 14%, slope 10°, azimuth 0°. Note the yearly energy E_y and the radiation database shown, then type E_y into Inputs C7:E7. The figure now used (922.3) came from the PVGIS v5.2 API during the arena run; the current web tool runs version 5.3 (PVGIS-SARAH3), so the value may differ slightly.</t>
  </si>
  <si>
    <t xml:space="preserve">b) Electricity prices by consumer size band (DESNZ table 3.4.2), if a size-specific price is wanted. Only the all-business average could be confirmed from an official source here.</t>
  </si>
  <si>
    <t xml:space="preserve">8. References (Harvard)</t>
  </si>
  <si>
    <t xml:space="preserve">Bódis, K., Kougias, I., Jäger-Waldau, A., Taylor, N. and Szabó, S. (2019) 'A high-resolution geospatial assessment of the rooftop solar photovoltaic potential in the European Union', Renewable and Sustainable Energy Reviews, 114, 109309. Available at: https://fenix.ciencias.ulisboa.pt/downloadFile/1126037345801908/Bodis-2019-A-high-resolution-geospatial-assess.pdf [Accessed on: 09/10/2026].</t>
  </si>
  <si>
    <t xml:space="preserve">DESNZ (2026a) Quarterly Energy Prices: September 2026. London: Department for Energy Security and Net Zero. Available at: https://assets.publishing.service.gov.uk/media/6aba2810fe72ed1e2b02f0e7/Quarterly_Energy_Prices_September_2026.pdf [Accessed on: 09/10/2026].</t>
  </si>
  <si>
    <t xml:space="preserve">DESNZ (2026b) 2026 Government greenhouse gas conversion factors for company reporting: methodology report. London: Department for Energy Security and Net Zero. Available at: https://assets.publishing.service.gov.uk/media/6a2940543b15d05a7ce3202e/2026-GHG-conversion-factors-methodology-report.pdf [Accessed on: 09/10/2026].</t>
  </si>
  <si>
    <t xml:space="preserve">European Commission Joint Research Centre (n.d.) PVGIS user manual. Available at: https://joint-research-centre.ec.europa.eu/photovoltaic-geographical-information-system-pvgis/getting-started-pvgis/pvgis-user-manual_en [Accessed on: 09/10/2026].</t>
  </si>
  <si>
    <t xml:space="preserve">European Commission Joint Research Centre (2026) PVGIS 5.2 API, PVcalc, lat 51.7514, lon −1.2407, peakpower 1, loss 14, angle 10, aspect 0. Retrieved 02/10/2026 during the OZ arena run (to be re-confirmed, section 7).</t>
  </si>
  <si>
    <t xml:space="preserve">Gagnon, P., Margolis, R., Melius, J., Phillips, C. and Elmore, R. (2016) Rooftop Solar Photovoltaic Technical Potential in the United States: A Detailed Assessment. NREL/TP-6A20-65298. Golden, CO: National Renewable Energy Laboratory. Available at: https://nrel.gov/docs/fy16osti/65298.pdf [Accessed on: 09/10/2026].</t>
  </si>
  <si>
    <t xml:space="preserve">Jinko Solar (2024) Tiger Neo JKM435-460N-54HL4R-(V) datasheet. Available at: https://www.jinkosolar.com/uploads/JKM435-460N-54HL4R-(V)-F8-EN.pdf [Accessed on: 09/10/2026].</t>
  </si>
  <si>
    <t xml:space="preserve">Joju Solar (2026) Commercial rooftop solar. Available at: https://www.jojusolar.co.uk/for-business/commercial-rooftop/ [Accessed on: 09/10/2026].</t>
  </si>
  <si>
    <t xml:space="preserve">Jordan, D.C. and Kurtz, S.R. (2013) 'Photovoltaic degradation rates: an analytical review', Progress in Photovoltaics: Research and Applications, 21(1), pp. 12–29. Available at: https://www.osti.gov/biblio/1045052 [Accessed on: 09/10/2026].</t>
  </si>
  <si>
    <t xml:space="preserve">Kakoulaki, G., Kenny, R., Taylor, N., Gracia-Amillo, A.M., Szabo, S., Martínez, A.M., Thiel, C. and Jäger-Waldau, A. (2026) 'Mapping Europe's rooftop photovoltaic potential with a building-level database', Nature Energy, 11(2), pp. 324–333. Available at: https://www.nature.com/articles/s41560-025-01947-x [Accessed on: 09/10/2026].</t>
  </si>
  <si>
    <t xml:space="preserve">LONGi (2025) LR7-54HVH 480-500 M datasheet (draft, 08/04/2025). Available at: https://static.longi.com/LR_7_54_HVH_480_500_M_BGV_01_20250408_BGV_02_568afe65cb.pdf [Accessed on: 09/10/2026].</t>
  </si>
  <si>
    <t xml:space="preserve">Ofgem (2025) Smart Export Guarantee Annual Report: Year 5 (April 2024 – March 2025). London: Ofgem. Available at: https://www.ofgem.gov.uk/sites/default/files/2025-12/Smart_Export_Guarantee_Annual_Report_Year_5-20251203191140.pdf [Accessed on: 09/10/2026].</t>
  </si>
  <si>
    <t xml:space="preserve">OpenStreetMap contributors (2026) Oxfordshire extract, downloaded 02/10/2026. Licensed under the Open Database Licence (ODbL).</t>
  </si>
  <si>
    <t xml:space="preserve">Parsons Brinckerhoff (2015) Small-Scale Generation Costs Update. Report for the Department of Energy and Climate Change. Available at: https://assets.publishing.service.gov.uk/government/uploads/system/uploads/attachment_data/file/456187/DECC_Small-Scale_Generation_Costs_Update_FINAL.PDF [Accessed on: 09/10/2026].</t>
  </si>
  <si>
    <t xml:space="preserve">The Valuation for Rating (Plant and Machinery) (England) (Amendment) Regulations 2022 (SI 2022/405), Explanatory Memorandum. Available at: https://www.legislation.gov.uk/uksi/2022/405/pdfs/uksiem_20220405_en.pdf [Accessed on: 09/10/2026].</t>
  </si>
  <si>
    <t xml:space="preserve">Trina Solar (2025) Vertex N TSM-NEG19RC.20 datasheet. Available at: https://static.trinasolar.com/sites/default/files/DT-M-0045_Datasheet_Vertex_NEG19RC.20_EN_2025_B.pdf [Accessed on: 09/10/2026].</t>
  </si>
  <si>
    <t xml:space="preserve">Attribution: contains OpenStreetMap data © OpenStreetMap contributors, available under the Open Database Licence. Contains public sector information licensed under the Open Government Licence v3.0.</t>
  </si>
  <si>
    <t xml:space="preserve">Inputs: every number the calculation uses, with its source</t>
  </si>
  <si>
    <t xml:space="preserve">Blue text = a typed input. Black = a formula. Yellow fill = an assumption or a value still to be confirmed. Change any blue cell and every result in the workbook updates.</t>
  </si>
  <si>
    <t xml:space="preserve">Parameter</t>
  </si>
  <si>
    <t xml:space="preserve">Symbol</t>
  </si>
  <si>
    <t xml:space="preserve">Low</t>
  </si>
  <si>
    <t xml:space="preserve">Central</t>
  </si>
  <si>
    <t xml:space="preserve">High</t>
  </si>
  <si>
    <t xml:space="preserve">Unit</t>
  </si>
  <si>
    <t xml:space="preserve">Source (see Method, section 8)</t>
  </si>
  <si>
    <t xml:space="preserve">Exact quote from the source, or how the value was derived</t>
  </si>
  <si>
    <t xml:space="preserve">Status</t>
  </si>
  <si>
    <t xml:space="preserve">Share of roof area covered by panels (module area / roof area)</t>
  </si>
  <si>
    <t xml:space="preserve">f</t>
  </si>
  <si>
    <t xml:space="preserve">fraction</t>
  </si>
  <si>
    <t xml:space="preserve">Low: Bódis et al. (2019). Central: Kakoulaki et al. (2026). High: Gagnon et al. (2016).</t>
  </si>
  <si>
    <t xml:space="preserve">Low: "approximately half (49–64%) of EU roofs appeared to be suitable for PV" and "an additional reduction coefficient (60%) has been applied to estimate the net area"; lower bound 0.49 × 0.60. Central: for non-residential buildings "the PV installations were set at 40% of the total rooftop area"; "Spacing between modules and module racks is taken into account in the 25% or 40% installation fraction". High: "49% suitable for medium buildings and 66% for large buildings" and "For flat roofs, the ratio of module area to roof area was assumed to be 0.7"; 0.66 × 0.70.</t>
  </si>
  <si>
    <t xml:space="preserve">VERIFIED (quotes opened 09/10/2026)</t>
  </si>
  <si>
    <t xml:space="preserve">Module power density</t>
  </si>
  <si>
    <t xml:space="preserve">rho</t>
  </si>
  <si>
    <t xml:space="preserve">W per m² of module</t>
  </si>
  <si>
    <t xml:space="preserve">Median of three current module datasheets (rows 21-23), rounded to the nearest 10 W/m².</t>
  </si>
  <si>
    <t xml:space="preserve">Derived: rated power ÷ module area for each datasheet; midpoint of each product's range; median of the three.</t>
  </si>
  <si>
    <t xml:space="preserve">VERIFIED datasheets; median is derived</t>
  </si>
  <si>
    <t xml:space="preserve">Specific yield (annual generation per kWp)</t>
  </si>
  <si>
    <t xml:space="preserve">Y</t>
  </si>
  <si>
    <t xml:space="preserve">kWh per kWp per year</t>
  </si>
  <si>
    <t xml:space="preserve">PVGIS v5.2 API, EC Joint Research Centre. Retrieved 02/10/2026 during the OZ arena run.</t>
  </si>
  <si>
    <t xml:space="preserve">Settings: lat 51.7514, lon −1.2407 (mean location of the 1,790 Oxford City buildings), peak power 1 kWp, system loss 14% (PVGIS default: "We have given a default value of 14% for the overall losses"), tilt 10°, azimuth 0° (south). Output E_y = 922.3.</t>
  </si>
  <si>
    <t xml:space="preserve">TO CONFIRM: re-run in the PVGIS web tool (Method, section 7)</t>
  </si>
  <si>
    <t xml:space="preserve">Self-consumption (share of generation used on site)</t>
  </si>
  <si>
    <t xml:space="preserve">s</t>
  </si>
  <si>
    <t xml:space="preserve">Assumption chosen by Zara Pashov, 09/10/2026.</t>
  </si>
  <si>
    <t xml:space="preserve">No published source gives self-consumption by sector. Systems here are sized to the roof, not to site demand, so very high self-use is less likely. To be tested with installers.</t>
  </si>
  <si>
    <t xml:space="preserve">ASSUMPTION</t>
  </si>
  <si>
    <t xml:space="preserve">Electricity price avoided by self-consumption</t>
  </si>
  <si>
    <t xml:space="preserve">p_imp</t>
  </si>
  <si>
    <t xml:space="preserve">p per kWh</t>
  </si>
  <si>
    <t xml:space="preserve">DESNZ (2026a) Quarterly Energy Prices, September 2026, p. 8.</t>
  </si>
  <si>
    <t xml:space="preserve">"In quarter 2 2026, the average electricity price including CCL was 24.51 pence per kWh". All-business average; prices differ by size band. The quoted text does not state the VAT treatment.</t>
  </si>
  <si>
    <t xml:space="preserve">VERIFIED (all-business average)</t>
  </si>
  <si>
    <t xml:space="preserve">Export price for electricity not used on site</t>
  </si>
  <si>
    <t xml:space="preserve">p_exp</t>
  </si>
  <si>
    <t xml:space="preserve">Ofgem (2025) Smart Export Guarantee Annual Report, Year 5 (Apr 2024 – Mar 2025), Figures 2.1–2.3.</t>
  </si>
  <si>
    <t xml:space="preserve">Untied business export tariffs named in the report: EDF Variable Business 3 p/kWh (low); Octopus Business 4.1 p/kWh (central and high). These are 2024-25 offers.</t>
  </si>
  <si>
    <t xml:space="preserve">VERIFIED (2024-25 tariffs)</t>
  </si>
  <si>
    <t xml:space="preserve">Capital cost (installed)</t>
  </si>
  <si>
    <t xml:space="preserve">c</t>
  </si>
  <si>
    <t xml:space="preserve">£ per kWp</t>
  </si>
  <si>
    <t xml:space="preserve">Joju Solar (2026) Commercial rooftop solar (trade source).</t>
  </si>
  <si>
    <t xml:space="preserve">"the average cost of a commercial rooftop solar installation in the UK is between £700 and £1,100 per kilowatt peak (kWp), with larger installations typically costing less per kWp". Central = midpoint. Joju attributes the figure to the Solar Trade Association; VAT not stated. No official figure newer than 2015 was found.</t>
  </si>
  <si>
    <t xml:space="preserve">VERIFIED wording; trade source</t>
  </si>
  <si>
    <t xml:space="preserve">Operation and maintenance cost</t>
  </si>
  <si>
    <t xml:space="preserve">o</t>
  </si>
  <si>
    <t xml:space="preserve">£ per kW per year (2014 prices)</t>
  </si>
  <si>
    <t xml:space="preserve">Parsons Brinckerhoff for DECC (2015) Small-Scale Generation Costs Update, section 2.2.4.8.</t>
  </si>
  <si>
    <t xml:space="preserve">Band 250–5,000 kW: low 7.6, central 9.5, high 11.4 £/kW/yr. Opex "should include labour, planned maintenance and lifecycle replacement costs". The pessimistic (Low) scenario uses the high cost. 2014 prices, not inflated.</t>
  </si>
  <si>
    <t xml:space="preserve">VERIFIED; dated (2014 prices)</t>
  </si>
  <si>
    <t xml:space="preserve">Carbon factor for UK grid electricity</t>
  </si>
  <si>
    <t xml:space="preserve">g</t>
  </si>
  <si>
    <t xml:space="preserve">kg CO2e per kWh</t>
  </si>
  <si>
    <t xml:space="preserve">DESNZ (2026b) 2026 GHG conversion factors methodology report, Table 9, p. 36.</t>
  </si>
  <si>
    <t xml:space="preserve">Row "2025", electricity GENERATED, total = 0.13096 kg CO2e/kWh (UK grid average, 2025 data). Transmission and distribution losses (0.01299) are not added.</t>
  </si>
  <si>
    <t xml:space="preserve">VERIFIED</t>
  </si>
  <si>
    <t xml:space="preserve">Annual degradation of panel output (not applied)</t>
  </si>
  <si>
    <t xml:space="preserve">d</t>
  </si>
  <si>
    <t xml:space="preserve">per year</t>
  </si>
  <si>
    <t xml:space="preserve">Jordan and Kurtz (2013).</t>
  </si>
  <si>
    <t xml:space="preserve">"Nearly 2000 degradation rates… showing a median value of 0.5%/year." Not applied: all results are year 1.</t>
  </si>
  <si>
    <t xml:space="preserve">VERIFIED; documented only</t>
  </si>
  <si>
    <t xml:space="preserve">Flag systems larger than</t>
  </si>
  <si>
    <t xml:space="preserve">flag</t>
  </si>
  <si>
    <t xml:space="preserve">kWp</t>
  </si>
  <si>
    <t xml:space="preserve">Decision by Zara Pashov, 09/10/2026.</t>
  </si>
  <si>
    <t xml:space="preserve">Systems are sized to the roof. Above 1 MWp they are flagged as likely limited by site demand or grid capacity.</t>
  </si>
  <si>
    <t xml:space="preserve">DECISION</t>
  </si>
  <si>
    <t xml:space="preserve">Module datasheets used for the power density (row 6)</t>
  </si>
  <si>
    <t xml:space="preserve">Module (datasheet)</t>
  </si>
  <si>
    <t xml:space="preserve">Rated power, min (W)</t>
  </si>
  <si>
    <t xml:space="preserve">Rated power, max (W)</t>
  </si>
  <si>
    <t xml:space="preserve">Length (mm)</t>
  </si>
  <si>
    <t xml:space="preserve">Width (mm)</t>
  </si>
  <si>
    <t xml:space="preserve">W per m², min</t>
  </si>
  <si>
    <t xml:space="preserve">W per m², max</t>
  </si>
  <si>
    <t xml:space="preserve">Midpoint W per m²</t>
  </si>
  <si>
    <t xml:space="preserve">Source URL</t>
  </si>
  <si>
    <t xml:space="preserve">LONGi LR7-54HVH 480-500 M (datasheet dated 08/04/2025, marked draft)</t>
  </si>
  <si>
    <t xml:space="preserve">https://static.longi.com/LR_7_54_HVH_480_500_M_BGV_01_20250408_BGV_02_568afe65cb.pdf</t>
  </si>
  <si>
    <t xml:space="preserve">Jinko Tiger Neo JKM435-460N-54HL4R-(V) (2024)</t>
  </si>
  <si>
    <t xml:space="preserve">https://www.jinkosolar.com/uploads/JKM435-460N-54HL4R-(V)-F8-EN.pdf</t>
  </si>
  <si>
    <t xml:space="preserve">Trina Vertex N TSM-NEG19RC.20 (2025)</t>
  </si>
  <si>
    <t xml:space="preserve">https://static.trinasolar.com/sites/default/files/DT-M-0045_Datasheet_Vertex_NEG19RC.20_EN_2025_B.pdf</t>
  </si>
  <si>
    <t xml:space="preserve">Median of midpoints</t>
  </si>
  <si>
    <t xml:space="preserve">Oxford City: indicative rooftop solar sizing, generation, savings, payback and CO2 for 20 checked sites</t>
  </si>
  <si>
    <t xml:space="preserve">Checked by Zara Pashov, 10 October 2026. Indicative desktop estimates from public data, not quotes. Low / Central / High are bundled scenarios (see Method). Figures are for year 1. Inputs and sources: Inputs sheet.</t>
  </si>
  <si>
    <t xml:space="preserve">Rank (check sheet)</t>
  </si>
  <si>
    <t xml:space="preserve">Site</t>
  </si>
  <si>
    <t xml:space="preserve">Found in tab</t>
  </si>
  <si>
    <t xml:space="preserve">OSM building type</t>
  </si>
  <si>
    <t xml:space="preserve">Buildings on site</t>
  </si>
  <si>
    <t xml:space="preserve">OSM footprint, main building (m²)</t>
  </si>
  <si>
    <t xml:space="preserve">Roof area used (m²)</t>
  </si>
  <si>
    <t xml:space="preserve">Roof area source</t>
  </si>
  <si>
    <t xml:space="preserve">Sizing status</t>
  </si>
  <si>
    <t xml:space="preserve">Satellite check (Zara, 7 Oct 2026)</t>
  </si>
  <si>
    <t xml:space="preserve">System size (kWp)</t>
  </si>
  <si>
    <t xml:space="preserve">Generation (MWh/yr)</t>
  </si>
  <si>
    <t xml:space="preserve">Net saving (£/yr)</t>
  </si>
  <si>
    <t xml:space="preserve">Simple payback (years)</t>
  </si>
  <si>
    <t xml:space="preserve">CO2e avoided (t/yr)</t>
  </si>
  <si>
    <t xml:space="preserve">Flag</t>
  </si>
  <si>
    <t xml:space="preserve">Satellite view</t>
  </si>
  <si>
    <t xml:space="preserve">Unipart</t>
  </si>
  <si>
    <t xml:space="preserve">Top 50</t>
  </si>
  <si>
    <t xml:space="preserve">industrial</t>
  </si>
  <si>
    <t xml:space="preserve">OpenStreetMap building outline (main building only)</t>
  </si>
  <si>
    <t xml:space="preserve">Sized</t>
  </si>
  <si>
    <t xml:space="preserve">No panels visible; roof usable: Yes</t>
  </si>
  <si>
    <t xml:space="preserve">Satellite</t>
  </si>
  <si>
    <t xml:space="preserve">Unipart Logistics Cowley</t>
  </si>
  <si>
    <t xml:space="preserve">warehouse_logistics</t>
  </si>
  <si>
    <t xml:space="preserve">Pending</t>
  </si>
  <si>
    <t xml:space="preserve">No panels visible; roof usable: Yes. Note: roofs angled might not be great for solar, array probs smaller than anticipated</t>
  </si>
  <si>
    <t xml:space="preserve">Sainsbury's</t>
  </si>
  <si>
    <t xml:space="preserve">retail</t>
  </si>
  <si>
    <t xml:space="preserve">Zara Pashov, measured on satellite imagery, 7 Oct 2026 (OSM outline 8,401 m² judged too large)</t>
  </si>
  <si>
    <t xml:space="preserve">No panels visible; roof usable: Yes. Note: I think the roof size is smaller than this estimate, I estimate 5488m2</t>
  </si>
  <si>
    <t xml:space="preserve">Ozone Leisure Centre</t>
  </si>
  <si>
    <t xml:space="preserve">Kassam Stadium</t>
  </si>
  <si>
    <t xml:space="preserve">hospitality_leisure</t>
  </si>
  <si>
    <t xml:space="preserve">Holiday Inn</t>
  </si>
  <si>
    <t xml:space="preserve">untagged_large_no_zone</t>
  </si>
  <si>
    <t xml:space="preserve">The Oxford Academy</t>
  </si>
  <si>
    <t xml:space="preserve">education</t>
  </si>
  <si>
    <t xml:space="preserve">Oxford Telephone Exchange</t>
  </si>
  <si>
    <t xml:space="preserve">untagged_in_commercial_zone</t>
  </si>
  <si>
    <t xml:space="preserve">Oxford Business Park (OxBio Hub)</t>
  </si>
  <si>
    <t xml:space="preserve">Oxford Business Park (John Wiley &amp; Sons)</t>
  </si>
  <si>
    <t xml:space="preserve">commercial_office</t>
  </si>
  <si>
    <t xml:space="preserve">Wickes</t>
  </si>
  <si>
    <t xml:space="preserve">Storage King Oxford - Self Storage Units</t>
  </si>
  <si>
    <t xml:space="preserve">No panels visible; roof usable: Yes. Note: no name given, but it is logisitcs</t>
  </si>
  <si>
    <t xml:space="preserve">Nuffield Trade and Industrial Park (Royal Mail East Oxford Delivery Office)</t>
  </si>
  <si>
    <t xml:space="preserve">untagged_in_industrial_zone</t>
  </si>
  <si>
    <t xml:space="preserve">Unicol Engineering</t>
  </si>
  <si>
    <t xml:space="preserve">Magdalen Centre (Sherrington Buidling)</t>
  </si>
  <si>
    <t xml:space="preserve">Sandhills Community Primary School</t>
  </si>
  <si>
    <t xml:space="preserve">Oxford Retail Park (TESCO SUPERSTORE)</t>
  </si>
  <si>
    <t xml:space="preserve">Large roofs</t>
  </si>
  <si>
    <t xml:space="preserve">Oxford University Press</t>
  </si>
  <si>
    <t xml:space="preserve">Leonardo Royal Hotel Oxford</t>
  </si>
  <si>
    <t xml:space="preserve">The Manor Hospital</t>
  </si>
  <si>
    <t xml:space="preserve">health</t>
  </si>
  <si>
    <t xml:space="preserve">Total, sized sites</t>
  </si>
  <si>
    <t xml:space="preserve">Why payback is the same at every site within a scenario: every input except roof area is the same for all sites (one yield, one self-consumption share, one price, one cost per kWp), and payback does not depend on roof area. Site-specific payback needs site data, above all how much of the solar each site would use itself.</t>
  </si>
  <si>
    <t xml:space="preserve">Calculations: every step for every site and scenario (formulas only; inputs come from the Inputs sheet)</t>
  </si>
  <si>
    <t xml:space="preserve">Scenario 1 = Low (pessimistic on every input), 2 = Central, 3 = High (optimistic on every input). Each input is picked from the Inputs sheet with INDEX(row, scenario number).</t>
  </si>
  <si>
    <t xml:space="preserve">Rank</t>
  </si>
  <si>
    <t xml:space="preserve">Scenario</t>
  </si>
  <si>
    <t xml:space="preserve">Scenario no.</t>
  </si>
  <si>
    <t xml:space="preserve">Panel cover share f</t>
  </si>
  <si>
    <t xml:space="preserve">Power density rho (W/m²)</t>
  </si>
  <si>
    <t xml:space="preserve">Specific yield Y (kWh/kWp/yr)</t>
  </si>
  <si>
    <t xml:space="preserve">Generation (kWh/yr)</t>
  </si>
  <si>
    <t xml:space="preserve">Self-consumption s</t>
  </si>
  <si>
    <t xml:space="preserve">Used on site (kWh/yr)</t>
  </si>
  <si>
    <t xml:space="preserve">Exported (kWh/yr)</t>
  </si>
  <si>
    <t xml:space="preserve">Import price (p/kWh)</t>
  </si>
  <si>
    <t xml:space="preserve">Export price (p/kWh)</t>
  </si>
  <si>
    <t xml:space="preserve">Gross saving (£/yr)</t>
  </si>
  <si>
    <t xml:space="preserve">O&amp;M rate (£/kW/yr)</t>
  </si>
  <si>
    <t xml:space="preserve">O&amp;M cost (£/yr)</t>
  </si>
  <si>
    <t xml:space="preserve">Capital cost rate (£/kWp)</t>
  </si>
  <si>
    <t xml:space="preserve">Capital cost (£)</t>
  </si>
  <si>
    <t xml:space="preserve">Carbon factor (kg CO2e/kWh)</t>
  </si>
</sst>
</file>

<file path=xl/styles.xml><?xml version="1.0" encoding="utf-8"?>
<styleSheet xmlns="http://schemas.openxmlformats.org/spreadsheetml/2006/main">
  <numFmts count="10">
    <numFmt numFmtId="164" formatCode="General"/>
    <numFmt numFmtId="165" formatCode="0.000"/>
    <numFmt numFmtId="166" formatCode="0"/>
    <numFmt numFmtId="167" formatCode="0.0"/>
    <numFmt numFmtId="168" formatCode="0%"/>
    <numFmt numFmtId="169" formatCode="0.00"/>
    <numFmt numFmtId="170" formatCode="#,##0"/>
    <numFmt numFmtId="171" formatCode="0.00000"/>
    <numFmt numFmtId="172" formatCode="0.0%"/>
    <numFmt numFmtId="173" formatCode="#,##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name val="Arial"/>
      <family val="0"/>
      <charset val="1"/>
    </font>
    <font>
      <b val="true"/>
      <sz val="10"/>
      <name val="Arial"/>
      <family val="0"/>
      <charset val="1"/>
    </font>
    <font>
      <sz val="10"/>
      <color rgb="FF0000FF"/>
      <name val="Arial"/>
      <family val="0"/>
      <charset val="1"/>
    </font>
    <font>
      <u val="single"/>
      <sz val="10"/>
      <color rgb="FF0563C1"/>
      <name val="Arial"/>
      <family val="0"/>
      <charset val="1"/>
    </font>
    <font>
      <sz val="10"/>
      <color rgb="FF008000"/>
      <name val="Arial"/>
      <family val="0"/>
      <charset val="1"/>
    </font>
  </fonts>
  <fills count="5">
    <fill>
      <patternFill patternType="none"/>
    </fill>
    <fill>
      <patternFill patternType="gray125"/>
    </fill>
    <fill>
      <patternFill patternType="solid">
        <fgColor rgb="FFDDE4EE"/>
        <bgColor rgb="FFF2F2F2"/>
      </patternFill>
    </fill>
    <fill>
      <patternFill patternType="solid">
        <fgColor rgb="FFFFFF00"/>
        <bgColor rgb="FFFFFF00"/>
      </patternFill>
    </fill>
    <fill>
      <patternFill patternType="solid">
        <fgColor rgb="FFF2F2F2"/>
        <bgColor rgb="FFDDE4EE"/>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style="thin">
        <color rgb="FFBFBFBF"/>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7" fontId="8" fillId="3" borderId="1" xfId="0" applyFont="true" applyBorder="true" applyAlignment="true" applyProtection="false">
      <alignment horizontal="general" vertical="top" textRotation="0" wrapText="true" indent="0" shrinkToFit="false"/>
      <protection locked="true" hidden="false"/>
    </xf>
    <xf numFmtId="168" fontId="8" fillId="3" borderId="1" xfId="0" applyFont="true" applyBorder="true" applyAlignment="true" applyProtection="false">
      <alignment horizontal="general" vertical="top" textRotation="0" wrapText="true" indent="0" shrinkToFit="false"/>
      <protection locked="true" hidden="false"/>
    </xf>
    <xf numFmtId="169" fontId="8" fillId="0" borderId="1" xfId="0" applyFont="true" applyBorder="true" applyAlignment="true" applyProtection="false">
      <alignment horizontal="general" vertical="top" textRotation="0" wrapText="true" indent="0" shrinkToFit="false"/>
      <protection locked="true" hidden="false"/>
    </xf>
    <xf numFmtId="167" fontId="8" fillId="0" borderId="1" xfId="0" applyFont="true" applyBorder="true" applyAlignment="true" applyProtection="false">
      <alignment horizontal="general" vertical="top" textRotation="0" wrapText="true" indent="0" shrinkToFit="false"/>
      <protection locked="true" hidden="false"/>
    </xf>
    <xf numFmtId="170" fontId="8" fillId="3" borderId="1" xfId="0" applyFont="true" applyBorder="true" applyAlignment="true" applyProtection="false">
      <alignment horizontal="general" vertical="top" textRotation="0" wrapText="true" indent="0" shrinkToFit="false"/>
      <protection locked="true" hidden="false"/>
    </xf>
    <xf numFmtId="170" fontId="5" fillId="3" borderId="1" xfId="0" applyFont="true" applyBorder="true" applyAlignment="true" applyProtection="false">
      <alignment horizontal="general" vertical="top" textRotation="0" wrapText="true" indent="0" shrinkToFit="false"/>
      <protection locked="true" hidden="false"/>
    </xf>
    <xf numFmtId="171" fontId="8" fillId="0" borderId="1" xfId="0" applyFont="true" applyBorder="true" applyAlignment="true" applyProtection="false">
      <alignment horizontal="general" vertical="top" textRotation="0" wrapText="true" indent="0" shrinkToFit="false"/>
      <protection locked="true" hidden="false"/>
    </xf>
    <xf numFmtId="172" fontId="8" fillId="0" borderId="1" xfId="0" applyFont="true" applyBorder="true" applyAlignment="true" applyProtection="false">
      <alignment horizontal="general" vertical="top" textRotation="0" wrapText="true" indent="0" shrinkToFit="false"/>
      <protection locked="true" hidden="false"/>
    </xf>
    <xf numFmtId="170" fontId="8"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7" fontId="5"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general" vertical="top" textRotation="0" wrapText="true" indent="0" shrinkToFit="false"/>
      <protection locked="true" hidden="false"/>
    </xf>
    <xf numFmtId="164" fontId="7" fillId="2" borderId="0" xfId="0" applyFont="true" applyBorder="true" applyAlignment="true" applyProtection="false">
      <alignment horizontal="center" vertical="bottom" textRotation="0" wrapText="true" indent="0" shrinkToFit="false"/>
      <protection locked="true" hidden="false"/>
    </xf>
    <xf numFmtId="164" fontId="7" fillId="2" borderId="0" xfId="0" applyFont="true" applyBorder="tru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70" fontId="5" fillId="0" borderId="1" xfId="0" applyFont="true" applyBorder="true" applyAlignment="true" applyProtection="false">
      <alignment horizontal="general" vertical="top" textRotation="0" wrapText="true" indent="0" shrinkToFit="false"/>
      <protection locked="true" hidden="false"/>
    </xf>
    <xf numFmtId="170" fontId="10" fillId="0" borderId="1" xfId="0" applyFont="true" applyBorder="true" applyAlignment="true" applyProtection="false">
      <alignment horizontal="general" vertical="bottom" textRotation="0" wrapText="false" indent="0" shrinkToFit="false"/>
      <protection locked="true" hidden="false"/>
    </xf>
    <xf numFmtId="170" fontId="10" fillId="4" borderId="1" xfId="0" applyFont="true" applyBorder="true" applyAlignment="true" applyProtection="false">
      <alignment horizontal="general" vertical="bottom" textRotation="0" wrapText="false" indent="0" shrinkToFit="false"/>
      <protection locked="true" hidden="false"/>
    </xf>
    <xf numFmtId="173" fontId="10" fillId="0" borderId="1" xfId="0" applyFont="true" applyBorder="true" applyAlignment="true" applyProtection="false">
      <alignment horizontal="general" vertical="bottom" textRotation="0" wrapText="false" indent="0" shrinkToFit="false"/>
      <protection locked="true" hidden="false"/>
    </xf>
    <xf numFmtId="173" fontId="10" fillId="4" borderId="1" xfId="0" applyFont="true" applyBorder="true" applyAlignment="tru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general" vertical="bottom" textRotation="0" wrapText="false" indent="0" shrinkToFit="false"/>
      <protection locked="true" hidden="false"/>
    </xf>
    <xf numFmtId="167" fontId="10" fillId="4"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73" fontId="7"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6" fontId="5" fillId="0" borderId="1" xfId="0" applyFont="true" applyBorder="true" applyAlignment="true" applyProtection="false">
      <alignment horizontal="general" vertical="bottom" textRotation="0" wrapText="false" indent="0" shrinkToFit="false"/>
      <protection locked="true" hidden="false"/>
    </xf>
    <xf numFmtId="170" fontId="5" fillId="0" borderId="1" xfId="0" applyFont="true" applyBorder="true" applyAlignment="true" applyProtection="false">
      <alignment horizontal="general" vertical="bottom" textRotation="0" wrapText="false" indent="0" shrinkToFit="false"/>
      <protection locked="true" hidden="false"/>
    </xf>
    <xf numFmtId="167" fontId="5" fillId="0" borderId="1" xfId="0" applyFont="true" applyBorder="true" applyAlignment="true" applyProtection="false">
      <alignment horizontal="general" vertical="bottom" textRotation="0" wrapText="false" indent="0" shrinkToFit="false"/>
      <protection locked="true" hidden="false"/>
    </xf>
    <xf numFmtId="168" fontId="5" fillId="0" borderId="1" xfId="0" applyFont="true" applyBorder="true" applyAlignment="true" applyProtection="false">
      <alignment horizontal="general" vertical="bottom" textRotation="0" wrapText="false" indent="0" shrinkToFit="false"/>
      <protection locked="true" hidden="false"/>
    </xf>
    <xf numFmtId="169" fontId="5" fillId="0" borderId="1" xfId="0" applyFont="true" applyBorder="true" applyAlignment="true" applyProtection="false">
      <alignment horizontal="general" vertical="bottom" textRotation="0" wrapText="false" indent="0" shrinkToFit="false"/>
      <protection locked="true" hidden="false"/>
    </xf>
    <xf numFmtId="171" fontId="5" fillId="0" borderId="1" xfId="0" applyFont="true" applyBorder="true" applyAlignment="true" applyProtection="false">
      <alignment horizontal="general" vertical="bottom" textRotation="0" wrapText="false" indent="0" shrinkToFit="false"/>
      <protection locked="true" hidden="false"/>
    </xf>
    <xf numFmtId="173" fontId="5" fillId="0" borderId="1" xfId="0" applyFont="true" applyBorder="true" applyAlignment="tru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bottom" textRotation="0" wrapText="false" indent="0" shrinkToFit="false"/>
      <protection locked="true" hidden="false"/>
    </xf>
    <xf numFmtId="165" fontId="5" fillId="4" borderId="1" xfId="0" applyFont="true" applyBorder="true" applyAlignment="true" applyProtection="false">
      <alignment horizontal="general" vertical="bottom" textRotation="0" wrapText="false" indent="0" shrinkToFit="false"/>
      <protection locked="true" hidden="false"/>
    </xf>
    <xf numFmtId="166" fontId="5" fillId="4" borderId="1" xfId="0" applyFont="true" applyBorder="true" applyAlignment="true" applyProtection="false">
      <alignment horizontal="general" vertical="bottom" textRotation="0" wrapText="false" indent="0" shrinkToFit="false"/>
      <protection locked="true" hidden="false"/>
    </xf>
    <xf numFmtId="170" fontId="5" fillId="4" borderId="1" xfId="0" applyFont="true" applyBorder="true" applyAlignment="true" applyProtection="false">
      <alignment horizontal="general" vertical="bottom" textRotation="0" wrapText="false" indent="0" shrinkToFit="false"/>
      <protection locked="true" hidden="false"/>
    </xf>
    <xf numFmtId="167" fontId="5" fillId="4" borderId="1" xfId="0" applyFont="true" applyBorder="true" applyAlignment="true" applyProtection="false">
      <alignment horizontal="general" vertical="bottom" textRotation="0" wrapText="false" indent="0" shrinkToFit="false"/>
      <protection locked="true" hidden="false"/>
    </xf>
    <xf numFmtId="168" fontId="5" fillId="4" borderId="1" xfId="0" applyFont="true" applyBorder="true" applyAlignment="true" applyProtection="false">
      <alignment horizontal="general" vertical="bottom" textRotation="0" wrapText="false" indent="0" shrinkToFit="false"/>
      <protection locked="true" hidden="false"/>
    </xf>
    <xf numFmtId="169" fontId="5" fillId="4" borderId="1" xfId="0" applyFont="true" applyBorder="true" applyAlignment="true" applyProtection="false">
      <alignment horizontal="general" vertical="bottom" textRotation="0" wrapText="false" indent="0" shrinkToFit="false"/>
      <protection locked="true" hidden="false"/>
    </xf>
    <xf numFmtId="171" fontId="5" fillId="4" borderId="1" xfId="0" applyFont="true" applyBorder="true" applyAlignment="true" applyProtection="false">
      <alignment horizontal="general" vertical="bottom" textRotation="0" wrapText="false" indent="0" shrinkToFit="false"/>
      <protection locked="true" hidden="false"/>
    </xf>
    <xf numFmtId="173" fontId="5" fillId="4"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563C1"/>
      <rgbColor rgb="FFDDE4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static.longi.com/LR_7_54_HVH_480_500_M_BGV_01_20250408_BGV_02_568afe65cb.pdf" TargetMode="External"/><Relationship Id="rId2" Type="http://schemas.openxmlformats.org/officeDocument/2006/relationships/hyperlink" Target="https://www.jinkosolar.com/uploads/JKM435-460N-54HL4R-(V)-F8-EN.pdf" TargetMode="External"/><Relationship Id="rId3" Type="http://schemas.openxmlformats.org/officeDocument/2006/relationships/hyperlink" Target="https://static.trinasolar.com/sites/default/files/DT-M-0045_Datasheet_Vertex_NEG19RC.20_EN_2025_B.pdf"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www.google.com/maps/@?api=1&amp;map_action=map&amp;center=51.734398,-1.178407&amp;zoom=19&amp;basemap=satellite" TargetMode="External"/><Relationship Id="rId2" Type="http://schemas.openxmlformats.org/officeDocument/2006/relationships/hyperlink" Target="https://www.google.com/maps/@?api=1&amp;map_action=map&amp;center=51.731725,-1.182637&amp;zoom=19&amp;basemap=satellite" TargetMode="External"/><Relationship Id="rId3" Type="http://schemas.openxmlformats.org/officeDocument/2006/relationships/hyperlink" Target="https://www.google.com/maps/@?api=1&amp;map_action=map&amp;center=51.721712,-1.232307&amp;zoom=19&amp;basemap=satellite" TargetMode="External"/><Relationship Id="rId4" Type="http://schemas.openxmlformats.org/officeDocument/2006/relationships/hyperlink" Target="https://www.google.com/maps/@?api=1&amp;map_action=map&amp;center=51.717505,-1.211568&amp;zoom=19&amp;basemap=satellite" TargetMode="External"/><Relationship Id="rId5" Type="http://schemas.openxmlformats.org/officeDocument/2006/relationships/hyperlink" Target="https://www.google.com/maps/@?api=1&amp;map_action=map&amp;center=51.716978,-1.207738&amp;zoom=19&amp;basemap=satellite" TargetMode="External"/><Relationship Id="rId6" Type="http://schemas.openxmlformats.org/officeDocument/2006/relationships/hyperlink" Target="https://www.google.com/maps/@?api=1&amp;map_action=map&amp;center=51.795542,-1.283518&amp;zoom=19&amp;basemap=satellite" TargetMode="External"/><Relationship Id="rId7" Type="http://schemas.openxmlformats.org/officeDocument/2006/relationships/hyperlink" Target="https://www.google.com/maps/@?api=1&amp;map_action=map&amp;center=51.722047,-1.215892&amp;zoom=19&amp;basemap=satellite" TargetMode="External"/><Relationship Id="rId8" Type="http://schemas.openxmlformats.org/officeDocument/2006/relationships/hyperlink" Target="https://www.google.com/maps/@?api=1&amp;map_action=map&amp;center=51.748031,-1.258271&amp;zoom=19&amp;basemap=satellite" TargetMode="External"/><Relationship Id="rId9" Type="http://schemas.openxmlformats.org/officeDocument/2006/relationships/hyperlink" Target="https://www.google.com/maps/@?api=1&amp;map_action=map&amp;center=51.729517,-1.206013&amp;zoom=19&amp;basemap=satellite" TargetMode="External"/><Relationship Id="rId10" Type="http://schemas.openxmlformats.org/officeDocument/2006/relationships/hyperlink" Target="https://www.google.com/maps/@?api=1&amp;map_action=map&amp;center=51.732605,-1.205678&amp;zoom=19&amp;basemap=satellite" TargetMode="External"/><Relationship Id="rId11" Type="http://schemas.openxmlformats.org/officeDocument/2006/relationships/hyperlink" Target="https://www.google.com/maps/@?api=1&amp;map_action=map&amp;center=51.752635,-1.289615&amp;zoom=19&amp;basemap=satellite" TargetMode="External"/><Relationship Id="rId12" Type="http://schemas.openxmlformats.org/officeDocument/2006/relationships/hyperlink" Target="https://www.google.com/maps/@?api=1&amp;map_action=map&amp;center=51.728069,-1.199559&amp;zoom=19&amp;basemap=satellite" TargetMode="External"/><Relationship Id="rId13" Type="http://schemas.openxmlformats.org/officeDocument/2006/relationships/hyperlink" Target="https://www.google.com/maps/@?api=1&amp;map_action=map&amp;center=51.72254,-1.213583&amp;zoom=19&amp;basemap=satellite" TargetMode="External"/><Relationship Id="rId14" Type="http://schemas.openxmlformats.org/officeDocument/2006/relationships/hyperlink" Target="https://www.google.com/maps/@?api=1&amp;map_action=map&amp;center=51.758501,-1.194174&amp;zoom=19&amp;basemap=satellite" TargetMode="External"/><Relationship Id="rId15" Type="http://schemas.openxmlformats.org/officeDocument/2006/relationships/hyperlink" Target="https://www.google.com/maps/@?api=1&amp;map_action=map&amp;center=51.716518,-1.218048&amp;zoom=19&amp;basemap=satellite" TargetMode="External"/><Relationship Id="rId16" Type="http://schemas.openxmlformats.org/officeDocument/2006/relationships/hyperlink" Target="https://www.google.com/maps/@?api=1&amp;map_action=map&amp;center=51.764511,-1.180311&amp;zoom=19&amp;basemap=satellite" TargetMode="External"/><Relationship Id="rId17" Type="http://schemas.openxmlformats.org/officeDocument/2006/relationships/hyperlink" Target="https://www.google.com/maps/@?api=1&amp;map_action=map&amp;center=51.726649,-1.203117&amp;zoom=19&amp;basemap=satellite" TargetMode="External"/><Relationship Id="rId18" Type="http://schemas.openxmlformats.org/officeDocument/2006/relationships/hyperlink" Target="https://www.google.com/maps/@?api=1&amp;map_action=map&amp;center=51.758518,-1.265025&amp;zoom=19&amp;basemap=satellite" TargetMode="External"/><Relationship Id="rId19" Type="http://schemas.openxmlformats.org/officeDocument/2006/relationships/hyperlink" Target="https://www.google.com/maps/@?api=1&amp;map_action=map&amp;center=51.787697,-1.28391&amp;zoom=19&amp;basemap=satellite" TargetMode="External"/><Relationship Id="rId20" Type="http://schemas.openxmlformats.org/officeDocument/2006/relationships/hyperlink" Target="https://www.google.com/maps/@?api=1&amp;map_action=map&amp;center=51.760257,-1.215451&amp;zoom=19&amp;basemap=satellit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0"/>
  </cols>
  <sheetData>
    <row r="1" customFormat="false" ht="17.25" hidden="false" customHeight="true" outlineLevel="0" collapsed="false">
      <c r="A1" s="2" t="s">
        <v>0</v>
      </c>
    </row>
    <row r="2" customFormat="false" ht="23.25" hidden="false" customHeight="true" outlineLevel="0" collapsed="false">
      <c r="A2" s="3" t="s">
        <v>1</v>
      </c>
    </row>
    <row r="3" customFormat="false" ht="15" hidden="false" customHeight="true" outlineLevel="0" collapsed="false">
      <c r="A3" s="3"/>
    </row>
    <row r="4" customFormat="false" ht="15" hidden="false" customHeight="true" outlineLevel="0" collapsed="false">
      <c r="A4" s="4" t="s">
        <v>2</v>
      </c>
    </row>
    <row r="5" customFormat="false" ht="23.25" hidden="false" customHeight="true" outlineLevel="0" collapsed="false">
      <c r="A5" s="3" t="s">
        <v>3</v>
      </c>
    </row>
    <row r="6" customFormat="false" ht="15" hidden="false" customHeight="true" outlineLevel="0" collapsed="false">
      <c r="A6" s="3"/>
    </row>
    <row r="7" customFormat="false" ht="15" hidden="false" customHeight="true" outlineLevel="0" collapsed="false">
      <c r="A7" s="4" t="s">
        <v>4</v>
      </c>
    </row>
    <row r="8" customFormat="false" ht="45.75" hidden="false" customHeight="true" outlineLevel="0" collapsed="false">
      <c r="A8" s="3" t="s">
        <v>5</v>
      </c>
    </row>
    <row r="9" customFormat="false" ht="15" hidden="false" customHeight="true" outlineLevel="0" collapsed="false">
      <c r="A9" s="3"/>
    </row>
    <row r="10" customFormat="false" ht="15" hidden="false" customHeight="true" outlineLevel="0" collapsed="false">
      <c r="A10" s="4" t="s">
        <v>6</v>
      </c>
    </row>
    <row r="11" customFormat="false" ht="15" hidden="false" customHeight="true" outlineLevel="0" collapsed="false">
      <c r="A11" s="3" t="s">
        <v>7</v>
      </c>
    </row>
    <row r="12" customFormat="false" ht="15" hidden="false" customHeight="true" outlineLevel="0" collapsed="false">
      <c r="A12" s="3" t="s">
        <v>8</v>
      </c>
    </row>
    <row r="13" customFormat="false" ht="15" hidden="false" customHeight="true" outlineLevel="0" collapsed="false">
      <c r="A13" s="3" t="s">
        <v>9</v>
      </c>
    </row>
    <row r="14" customFormat="false" ht="15" hidden="false" customHeight="true" outlineLevel="0" collapsed="false">
      <c r="A14" s="3" t="s">
        <v>10</v>
      </c>
    </row>
    <row r="15" customFormat="false" ht="23.25" hidden="false" customHeight="true" outlineLevel="0" collapsed="false">
      <c r="A15" s="3" t="s">
        <v>11</v>
      </c>
    </row>
    <row r="16" customFormat="false" ht="23.25" hidden="false" customHeight="true" outlineLevel="0" collapsed="false">
      <c r="A16" s="3" t="s">
        <v>12</v>
      </c>
    </row>
    <row r="17" customFormat="false" ht="15" hidden="false" customHeight="true" outlineLevel="0" collapsed="false">
      <c r="A17" s="3" t="s">
        <v>13</v>
      </c>
    </row>
    <row r="18" customFormat="false" ht="15" hidden="false" customHeight="true" outlineLevel="0" collapsed="false">
      <c r="A18" s="3"/>
    </row>
    <row r="19" customFormat="false" ht="15" hidden="false" customHeight="true" outlineLevel="0" collapsed="false">
      <c r="A19" s="4" t="s">
        <v>14</v>
      </c>
    </row>
    <row r="20" customFormat="false" ht="15" hidden="false" customHeight="true" outlineLevel="0" collapsed="false">
      <c r="A20" s="3" t="s">
        <v>15</v>
      </c>
    </row>
    <row r="21" customFormat="false" ht="15" hidden="false" customHeight="true" outlineLevel="0" collapsed="false">
      <c r="A21" s="3" t="s">
        <v>16</v>
      </c>
    </row>
    <row r="22" customFormat="false" ht="15" hidden="false" customHeight="true" outlineLevel="0" collapsed="false">
      <c r="A22" s="3" t="s">
        <v>17</v>
      </c>
    </row>
    <row r="23" customFormat="false" ht="15" hidden="false" customHeight="true" outlineLevel="0" collapsed="false">
      <c r="A23" s="3" t="s">
        <v>18</v>
      </c>
    </row>
    <row r="24" customFormat="false" ht="15" hidden="false" customHeight="true" outlineLevel="0" collapsed="false">
      <c r="A24" s="3" t="s">
        <v>19</v>
      </c>
    </row>
    <row r="25" customFormat="false" ht="15" hidden="false" customHeight="true" outlineLevel="0" collapsed="false">
      <c r="A25" s="3" t="s">
        <v>20</v>
      </c>
    </row>
    <row r="26" customFormat="false" ht="15" hidden="false" customHeight="true" outlineLevel="0" collapsed="false">
      <c r="A26" s="3" t="s">
        <v>21</v>
      </c>
    </row>
    <row r="27" customFormat="false" ht="23.25" hidden="false" customHeight="true" outlineLevel="0" collapsed="false">
      <c r="A27" s="3" t="s">
        <v>22</v>
      </c>
    </row>
    <row r="28" customFormat="false" ht="15" hidden="false" customHeight="true" outlineLevel="0" collapsed="false">
      <c r="A28" s="3"/>
    </row>
    <row r="29" customFormat="false" ht="15" hidden="false" customHeight="true" outlineLevel="0" collapsed="false">
      <c r="A29" s="4" t="s">
        <v>23</v>
      </c>
    </row>
    <row r="30" customFormat="false" ht="34.5" hidden="false" customHeight="true" outlineLevel="0" collapsed="false">
      <c r="A30" s="3" t="s">
        <v>24</v>
      </c>
    </row>
    <row r="31" customFormat="false" ht="23.25" hidden="false" customHeight="true" outlineLevel="0" collapsed="false">
      <c r="A31" s="3" t="s">
        <v>25</v>
      </c>
    </row>
    <row r="32" customFormat="false" ht="15" hidden="false" customHeight="true" outlineLevel="0" collapsed="false">
      <c r="A32" s="3"/>
    </row>
    <row r="33" customFormat="false" ht="15" hidden="false" customHeight="true" outlineLevel="0" collapsed="false">
      <c r="A33" s="4" t="s">
        <v>26</v>
      </c>
    </row>
    <row r="34" customFormat="false" ht="23.25" hidden="false" customHeight="true" outlineLevel="0" collapsed="false">
      <c r="A34" s="3" t="s">
        <v>27</v>
      </c>
    </row>
    <row r="35" customFormat="false" ht="23.25" hidden="false" customHeight="true" outlineLevel="0" collapsed="false">
      <c r="A35" s="3" t="s">
        <v>28</v>
      </c>
    </row>
    <row r="36" customFormat="false" ht="15" hidden="false" customHeight="true" outlineLevel="0" collapsed="false">
      <c r="A36" s="3" t="s">
        <v>29</v>
      </c>
    </row>
    <row r="37" customFormat="false" ht="23.25" hidden="false" customHeight="true" outlineLevel="0" collapsed="false">
      <c r="A37" s="3" t="s">
        <v>30</v>
      </c>
    </row>
    <row r="38" customFormat="false" ht="15" hidden="false" customHeight="true" outlineLevel="0" collapsed="false">
      <c r="A38" s="3" t="s">
        <v>31</v>
      </c>
    </row>
    <row r="39" customFormat="false" ht="23.25" hidden="false" customHeight="true" outlineLevel="0" collapsed="false">
      <c r="A39" s="3" t="s">
        <v>32</v>
      </c>
    </row>
    <row r="40" customFormat="false" ht="15" hidden="false" customHeight="true" outlineLevel="0" collapsed="false">
      <c r="A40" s="3" t="s">
        <v>33</v>
      </c>
    </row>
    <row r="41" customFormat="false" ht="15" hidden="false" customHeight="true" outlineLevel="0" collapsed="false">
      <c r="A41" s="3" t="s">
        <v>34</v>
      </c>
    </row>
    <row r="42" customFormat="false" ht="15" hidden="false" customHeight="true" outlineLevel="0" collapsed="false">
      <c r="A42" s="3"/>
    </row>
    <row r="43" customFormat="false" ht="15" hidden="false" customHeight="true" outlineLevel="0" collapsed="false">
      <c r="A43" s="4" t="s">
        <v>35</v>
      </c>
    </row>
    <row r="44" customFormat="false" ht="34.5" hidden="false" customHeight="true" outlineLevel="0" collapsed="false">
      <c r="A44" s="3" t="s">
        <v>36</v>
      </c>
    </row>
    <row r="45" customFormat="false" ht="15" hidden="false" customHeight="true" outlineLevel="0" collapsed="false">
      <c r="A45" s="3" t="s">
        <v>37</v>
      </c>
    </row>
    <row r="46" customFormat="false" ht="15" hidden="false" customHeight="true" outlineLevel="0" collapsed="false">
      <c r="A46" s="3"/>
    </row>
    <row r="47" customFormat="false" ht="15" hidden="false" customHeight="true" outlineLevel="0" collapsed="false">
      <c r="A47" s="4" t="s">
        <v>38</v>
      </c>
    </row>
    <row r="48" customFormat="false" ht="34.5" hidden="false" customHeight="true" outlineLevel="0" collapsed="false">
      <c r="A48" s="3" t="s">
        <v>39</v>
      </c>
    </row>
    <row r="49" customFormat="false" ht="23.25" hidden="false" customHeight="true" outlineLevel="0" collapsed="false">
      <c r="A49" s="3" t="s">
        <v>40</v>
      </c>
    </row>
    <row r="50" customFormat="false" ht="23.25" hidden="false" customHeight="true" outlineLevel="0" collapsed="false">
      <c r="A50" s="3" t="s">
        <v>41</v>
      </c>
    </row>
    <row r="51" customFormat="false" ht="23.25" hidden="false" customHeight="true" outlineLevel="0" collapsed="false">
      <c r="A51" s="3" t="s">
        <v>42</v>
      </c>
    </row>
    <row r="52" customFormat="false" ht="23.25" hidden="false" customHeight="true" outlineLevel="0" collapsed="false">
      <c r="A52" s="3" t="s">
        <v>43</v>
      </c>
    </row>
    <row r="53" customFormat="false" ht="23.25" hidden="false" customHeight="true" outlineLevel="0" collapsed="false">
      <c r="A53" s="3" t="s">
        <v>44</v>
      </c>
    </row>
    <row r="54" customFormat="false" ht="15" hidden="false" customHeight="true" outlineLevel="0" collapsed="false">
      <c r="A54" s="3" t="s">
        <v>45</v>
      </c>
    </row>
    <row r="55" customFormat="false" ht="15" hidden="false" customHeight="true" outlineLevel="0" collapsed="false">
      <c r="A55" s="3" t="s">
        <v>46</v>
      </c>
    </row>
    <row r="56" customFormat="false" ht="23.25" hidden="false" customHeight="true" outlineLevel="0" collapsed="false">
      <c r="A56" s="3" t="s">
        <v>47</v>
      </c>
    </row>
    <row r="57" customFormat="false" ht="23.25" hidden="false" customHeight="true" outlineLevel="0" collapsed="false">
      <c r="A57" s="3" t="s">
        <v>48</v>
      </c>
    </row>
    <row r="58" customFormat="false" ht="23.25" hidden="false" customHeight="true" outlineLevel="0" collapsed="false">
      <c r="A58" s="3" t="s">
        <v>49</v>
      </c>
    </row>
    <row r="59" customFormat="false" ht="23.25" hidden="false" customHeight="true" outlineLevel="0" collapsed="false">
      <c r="A59" s="3" t="s">
        <v>50</v>
      </c>
    </row>
    <row r="60" customFormat="false" ht="15" hidden="false" customHeight="true" outlineLevel="0" collapsed="false">
      <c r="A60" s="3" t="s">
        <v>51</v>
      </c>
    </row>
    <row r="61" customFormat="false" ht="34.5" hidden="false" customHeight="true" outlineLevel="0" collapsed="false">
      <c r="A61" s="3" t="s">
        <v>52</v>
      </c>
    </row>
    <row r="62" customFormat="false" ht="23.25" hidden="false" customHeight="true" outlineLevel="0" collapsed="false">
      <c r="A62" s="3" t="s">
        <v>53</v>
      </c>
    </row>
    <row r="63" customFormat="false" ht="23.25" hidden="false" customHeight="true" outlineLevel="0" collapsed="false">
      <c r="A63" s="3" t="s">
        <v>54</v>
      </c>
    </row>
    <row r="64" customFormat="false" ht="15" hidden="false" customHeight="true" outlineLevel="0" collapsed="false">
      <c r="A64" s="3"/>
    </row>
    <row r="65" customFormat="false" ht="23.25" hidden="false" customHeight="true" outlineLevel="0" collapsed="false">
      <c r="A65" s="3" t="s">
        <v>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9"/>
    <col collapsed="false" customWidth="true" hidden="false" outlineLevel="0" max="5" min="3" style="1" width="11"/>
    <col collapsed="false" customWidth="true" hidden="false" outlineLevel="0" max="6" min="6" style="1" width="16"/>
    <col collapsed="false" customWidth="true" hidden="false" outlineLevel="0" max="7" min="7" style="1" width="34"/>
    <col collapsed="false" customWidth="true" hidden="false" outlineLevel="0" max="8" min="8" style="1" width="70"/>
    <col collapsed="false" customWidth="true" hidden="false" outlineLevel="0" max="9" min="9" style="1" width="22"/>
  </cols>
  <sheetData>
    <row r="1" customFormat="false" ht="17.25" hidden="false" customHeight="true" outlineLevel="0" collapsed="false">
      <c r="A1" s="5" t="s">
        <v>56</v>
      </c>
    </row>
    <row r="2" customFormat="false" ht="15" hidden="false" customHeight="true" outlineLevel="0" collapsed="false">
      <c r="A2" s="6" t="s">
        <v>57</v>
      </c>
      <c r="B2" s="6"/>
      <c r="C2" s="6"/>
      <c r="D2" s="6"/>
      <c r="E2" s="6"/>
      <c r="F2" s="6"/>
      <c r="G2" s="6"/>
      <c r="H2" s="6"/>
      <c r="I2" s="6"/>
    </row>
    <row r="4" customFormat="false" ht="15" hidden="false" customHeight="true" outlineLevel="0" collapsed="false">
      <c r="A4" s="7" t="s">
        <v>58</v>
      </c>
      <c r="B4" s="7" t="s">
        <v>59</v>
      </c>
      <c r="C4" s="7" t="s">
        <v>60</v>
      </c>
      <c r="D4" s="7" t="s">
        <v>61</v>
      </c>
      <c r="E4" s="7" t="s">
        <v>62</v>
      </c>
      <c r="F4" s="7" t="s">
        <v>63</v>
      </c>
      <c r="G4" s="7" t="s">
        <v>64</v>
      </c>
      <c r="H4" s="7" t="s">
        <v>65</v>
      </c>
      <c r="I4" s="7" t="s">
        <v>66</v>
      </c>
    </row>
    <row r="5" customFormat="false" ht="79.5" hidden="false" customHeight="true" outlineLevel="0" collapsed="false">
      <c r="A5" s="8" t="s">
        <v>67</v>
      </c>
      <c r="B5" s="9" t="s">
        <v>68</v>
      </c>
      <c r="C5" s="10" t="n">
        <f aca="false">0.49*0.6</f>
        <v>0.294</v>
      </c>
      <c r="D5" s="10" t="n">
        <v>0.4</v>
      </c>
      <c r="E5" s="10" t="n">
        <f aca="false">0.66*0.7</f>
        <v>0.462</v>
      </c>
      <c r="F5" s="8" t="s">
        <v>69</v>
      </c>
      <c r="G5" s="8" t="s">
        <v>70</v>
      </c>
      <c r="H5" s="8" t="s">
        <v>71</v>
      </c>
      <c r="I5" s="8" t="s">
        <v>72</v>
      </c>
    </row>
    <row r="6" customFormat="false" ht="34.5" hidden="false" customHeight="true" outlineLevel="0" collapsed="false">
      <c r="A6" s="8" t="s">
        <v>73</v>
      </c>
      <c r="B6" s="9" t="s">
        <v>74</v>
      </c>
      <c r="C6" s="11" t="n">
        <f aca="false">ROUND($H$25,-1)</f>
        <v>230</v>
      </c>
      <c r="D6" s="11" t="n">
        <f aca="false">ROUND($H$25,-1)</f>
        <v>230</v>
      </c>
      <c r="E6" s="11" t="n">
        <f aca="false">ROUND($H$25,-1)</f>
        <v>230</v>
      </c>
      <c r="F6" s="8" t="s">
        <v>75</v>
      </c>
      <c r="G6" s="8" t="s">
        <v>76</v>
      </c>
      <c r="H6" s="8" t="s">
        <v>77</v>
      </c>
      <c r="I6" s="8" t="s">
        <v>78</v>
      </c>
    </row>
    <row r="7" customFormat="false" ht="34.5" hidden="false" customHeight="true" outlineLevel="0" collapsed="false">
      <c r="A7" s="8" t="s">
        <v>79</v>
      </c>
      <c r="B7" s="9" t="s">
        <v>80</v>
      </c>
      <c r="C7" s="12" t="n">
        <v>922.3</v>
      </c>
      <c r="D7" s="12" t="n">
        <v>922.3</v>
      </c>
      <c r="E7" s="12" t="n">
        <v>922.3</v>
      </c>
      <c r="F7" s="8" t="s">
        <v>81</v>
      </c>
      <c r="G7" s="8" t="s">
        <v>82</v>
      </c>
      <c r="H7" s="8" t="s">
        <v>83</v>
      </c>
      <c r="I7" s="8" t="s">
        <v>84</v>
      </c>
    </row>
    <row r="8" customFormat="false" ht="34.5" hidden="false" customHeight="true" outlineLevel="0" collapsed="false">
      <c r="A8" s="8" t="s">
        <v>85</v>
      </c>
      <c r="B8" s="9" t="s">
        <v>86</v>
      </c>
      <c r="C8" s="13" t="n">
        <v>0.4</v>
      </c>
      <c r="D8" s="13" t="n">
        <v>0.6</v>
      </c>
      <c r="E8" s="13" t="n">
        <v>0.8</v>
      </c>
      <c r="F8" s="8" t="s">
        <v>69</v>
      </c>
      <c r="G8" s="8" t="s">
        <v>87</v>
      </c>
      <c r="H8" s="8" t="s">
        <v>88</v>
      </c>
      <c r="I8" s="8" t="s">
        <v>89</v>
      </c>
    </row>
    <row r="9" customFormat="false" ht="34.5" hidden="false" customHeight="true" outlineLevel="0" collapsed="false">
      <c r="A9" s="8" t="s">
        <v>90</v>
      </c>
      <c r="B9" s="9" t="s">
        <v>91</v>
      </c>
      <c r="C9" s="14" t="n">
        <v>24.51</v>
      </c>
      <c r="D9" s="14" t="n">
        <v>24.51</v>
      </c>
      <c r="E9" s="14" t="n">
        <v>24.51</v>
      </c>
      <c r="F9" s="8" t="s">
        <v>92</v>
      </c>
      <c r="G9" s="8" t="s">
        <v>93</v>
      </c>
      <c r="H9" s="8" t="s">
        <v>94</v>
      </c>
      <c r="I9" s="8" t="s">
        <v>95</v>
      </c>
    </row>
    <row r="10" customFormat="false" ht="34.5" hidden="false" customHeight="true" outlineLevel="0" collapsed="false">
      <c r="A10" s="8" t="s">
        <v>96</v>
      </c>
      <c r="B10" s="9" t="s">
        <v>97</v>
      </c>
      <c r="C10" s="15" t="n">
        <v>3</v>
      </c>
      <c r="D10" s="15" t="n">
        <v>4.1</v>
      </c>
      <c r="E10" s="15" t="n">
        <v>4.1</v>
      </c>
      <c r="F10" s="8" t="s">
        <v>92</v>
      </c>
      <c r="G10" s="8" t="s">
        <v>98</v>
      </c>
      <c r="H10" s="8" t="s">
        <v>99</v>
      </c>
      <c r="I10" s="8" t="s">
        <v>100</v>
      </c>
    </row>
    <row r="11" customFormat="false" ht="45.75" hidden="false" customHeight="true" outlineLevel="0" collapsed="false">
      <c r="A11" s="8" t="s">
        <v>101</v>
      </c>
      <c r="B11" s="9" t="s">
        <v>102</v>
      </c>
      <c r="C11" s="16" t="n">
        <v>1100</v>
      </c>
      <c r="D11" s="17" t="n">
        <f aca="false">($C$11+$E$11)/2</f>
        <v>900</v>
      </c>
      <c r="E11" s="16" t="n">
        <v>700</v>
      </c>
      <c r="F11" s="8" t="s">
        <v>103</v>
      </c>
      <c r="G11" s="8" t="s">
        <v>104</v>
      </c>
      <c r="H11" s="8" t="s">
        <v>105</v>
      </c>
      <c r="I11" s="8" t="s">
        <v>106</v>
      </c>
    </row>
    <row r="12" customFormat="false" ht="34.5" hidden="false" customHeight="true" outlineLevel="0" collapsed="false">
      <c r="A12" s="8" t="s">
        <v>107</v>
      </c>
      <c r="B12" s="9" t="s">
        <v>108</v>
      </c>
      <c r="C12" s="15" t="n">
        <v>11.4</v>
      </c>
      <c r="D12" s="15" t="n">
        <v>9.5</v>
      </c>
      <c r="E12" s="15" t="n">
        <v>7.6</v>
      </c>
      <c r="F12" s="8" t="s">
        <v>109</v>
      </c>
      <c r="G12" s="8" t="s">
        <v>110</v>
      </c>
      <c r="H12" s="8" t="s">
        <v>111</v>
      </c>
      <c r="I12" s="8" t="s">
        <v>112</v>
      </c>
    </row>
    <row r="13" customFormat="false" ht="34.5" hidden="false" customHeight="true" outlineLevel="0" collapsed="false">
      <c r="A13" s="8" t="s">
        <v>113</v>
      </c>
      <c r="B13" s="9" t="s">
        <v>114</v>
      </c>
      <c r="C13" s="18" t="n">
        <v>0.13096</v>
      </c>
      <c r="D13" s="18" t="n">
        <v>0.13096</v>
      </c>
      <c r="E13" s="18" t="n">
        <v>0.13096</v>
      </c>
      <c r="F13" s="8" t="s">
        <v>115</v>
      </c>
      <c r="G13" s="8" t="s">
        <v>116</v>
      </c>
      <c r="H13" s="8" t="s">
        <v>117</v>
      </c>
      <c r="I13" s="8" t="s">
        <v>118</v>
      </c>
    </row>
    <row r="14" customFormat="false" ht="23.25" hidden="false" customHeight="true" outlineLevel="0" collapsed="false">
      <c r="A14" s="8" t="s">
        <v>119</v>
      </c>
      <c r="B14" s="9" t="s">
        <v>120</v>
      </c>
      <c r="C14" s="19" t="n">
        <v>0.005</v>
      </c>
      <c r="D14" s="19" t="n">
        <v>0.005</v>
      </c>
      <c r="E14" s="19" t="n">
        <v>0.005</v>
      </c>
      <c r="F14" s="8" t="s">
        <v>121</v>
      </c>
      <c r="G14" s="8" t="s">
        <v>122</v>
      </c>
      <c r="H14" s="8" t="s">
        <v>123</v>
      </c>
      <c r="I14" s="8" t="s">
        <v>124</v>
      </c>
    </row>
    <row r="15" customFormat="false" ht="23.25" hidden="false" customHeight="true" outlineLevel="0" collapsed="false">
      <c r="A15" s="8" t="s">
        <v>125</v>
      </c>
      <c r="B15" s="9" t="s">
        <v>126</v>
      </c>
      <c r="C15" s="20" t="n">
        <v>1000</v>
      </c>
      <c r="D15" s="20" t="n">
        <v>1000</v>
      </c>
      <c r="E15" s="20" t="n">
        <v>1000</v>
      </c>
      <c r="F15" s="8" t="s">
        <v>127</v>
      </c>
      <c r="G15" s="8" t="s">
        <v>128</v>
      </c>
      <c r="H15" s="8" t="s">
        <v>129</v>
      </c>
      <c r="I15" s="8" t="s">
        <v>130</v>
      </c>
    </row>
    <row r="19" customFormat="false" ht="15" hidden="false" customHeight="true" outlineLevel="0" collapsed="false">
      <c r="A19" s="21" t="s">
        <v>131</v>
      </c>
    </row>
    <row r="20" customFormat="false" ht="34.5" hidden="false" customHeight="true" outlineLevel="0" collapsed="false">
      <c r="A20" s="7" t="s">
        <v>132</v>
      </c>
      <c r="B20" s="7" t="s">
        <v>133</v>
      </c>
      <c r="C20" s="7" t="s">
        <v>134</v>
      </c>
      <c r="D20" s="7" t="s">
        <v>135</v>
      </c>
      <c r="E20" s="7" t="s">
        <v>136</v>
      </c>
      <c r="F20" s="7" t="s">
        <v>137</v>
      </c>
      <c r="G20" s="7" t="s">
        <v>138</v>
      </c>
      <c r="H20" s="7" t="s">
        <v>139</v>
      </c>
      <c r="I20" s="7" t="s">
        <v>140</v>
      </c>
    </row>
    <row r="21" customFormat="false" ht="34.5" hidden="false" customHeight="true" outlineLevel="0" collapsed="false">
      <c r="A21" s="8" t="s">
        <v>141</v>
      </c>
      <c r="B21" s="22" t="n">
        <v>480</v>
      </c>
      <c r="C21" s="22" t="n">
        <v>500</v>
      </c>
      <c r="D21" s="22" t="n">
        <v>1800</v>
      </c>
      <c r="E21" s="22" t="n">
        <v>1134</v>
      </c>
      <c r="F21" s="23" t="n">
        <f aca="false">B21/(D21/1000*E21/1000)</f>
        <v>235.155790711346</v>
      </c>
      <c r="G21" s="23" t="n">
        <f aca="false">C21/(D21/1000*E21/1000)</f>
        <v>244.953948657652</v>
      </c>
      <c r="H21" s="23" t="n">
        <f aca="false">(F21+G21)/2</f>
        <v>240.054869684499</v>
      </c>
      <c r="I21" s="24" t="s">
        <v>142</v>
      </c>
    </row>
    <row r="22" customFormat="false" ht="23.25" hidden="false" customHeight="true" outlineLevel="0" collapsed="false">
      <c r="A22" s="8" t="s">
        <v>143</v>
      </c>
      <c r="B22" s="22" t="n">
        <v>435</v>
      </c>
      <c r="C22" s="22" t="n">
        <v>460</v>
      </c>
      <c r="D22" s="22" t="n">
        <v>1762</v>
      </c>
      <c r="E22" s="22" t="n">
        <v>1134</v>
      </c>
      <c r="F22" s="23" t="n">
        <f aca="false">B22/(D22/1000*E22/1000)</f>
        <v>217.705949828538</v>
      </c>
      <c r="G22" s="23" t="n">
        <f aca="false">C22/(D22/1000*E22/1000)</f>
        <v>230.21778602558</v>
      </c>
      <c r="H22" s="23" t="n">
        <f aca="false">(F22+G22)/2</f>
        <v>223.961867927059</v>
      </c>
      <c r="I22" s="24" t="s">
        <v>144</v>
      </c>
    </row>
    <row r="23" customFormat="false" ht="15" hidden="false" customHeight="true" outlineLevel="0" collapsed="false">
      <c r="A23" s="8" t="s">
        <v>145</v>
      </c>
      <c r="B23" s="22" t="n">
        <v>610</v>
      </c>
      <c r="C23" s="22" t="n">
        <v>635</v>
      </c>
      <c r="D23" s="22" t="n">
        <v>2382</v>
      </c>
      <c r="E23" s="22" t="n">
        <v>1134</v>
      </c>
      <c r="F23" s="23" t="n">
        <f aca="false">B23/(D23/1000*E23/1000)</f>
        <v>225.826562238541</v>
      </c>
      <c r="G23" s="23" t="n">
        <f aca="false">C23/(D23/1000*E23/1000)</f>
        <v>235.08174921553</v>
      </c>
      <c r="H23" s="23" t="n">
        <f aca="false">(F23+G23)/2</f>
        <v>230.454155727036</v>
      </c>
      <c r="I23" s="24" t="s">
        <v>146</v>
      </c>
    </row>
    <row r="25" customFormat="false" ht="15" hidden="false" customHeight="true" outlineLevel="0" collapsed="false">
      <c r="G25" s="25" t="s">
        <v>147</v>
      </c>
      <c r="H25" s="26" t="n">
        <f aca="false">MEDIAN(H21:H23)</f>
        <v>230.454155727036</v>
      </c>
    </row>
  </sheetData>
  <mergeCells count="1">
    <mergeCell ref="A2:I2"/>
  </mergeCells>
  <hyperlinks>
    <hyperlink ref="I21" r:id="rId1" display="https://static.longi.com/LR_7_54_HVH_480_500_M_BGV_01_20250408_BGV_02_568afe65cb.pdf"/>
    <hyperlink ref="I22" r:id="rId2" display="https://www.jinkosolar.com/uploads/JKM435-460N-54HL4R-(V)-F8-EN.pdf"/>
    <hyperlink ref="I23" r:id="rId3" display="https://static.trinasolar.com/sites/default/files/DT-M-0045_Datasheet_Vertex_NEG19RC.20_EN_2025_B.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30"/>
    <col collapsed="false" customWidth="true" hidden="false" outlineLevel="0" max="3" min="3" style="1" width="11"/>
    <col collapsed="false" customWidth="true" hidden="false" outlineLevel="0" max="4" min="4" style="1" width="18"/>
    <col collapsed="false" customWidth="true" hidden="false" outlineLevel="0" max="5" min="5" style="1" width="9"/>
    <col collapsed="false" customWidth="true" hidden="false" outlineLevel="0" max="6" min="6" style="1" width="12"/>
    <col collapsed="false" customWidth="true" hidden="false" outlineLevel="0" max="7" min="7" style="1" width="11"/>
    <col collapsed="false" customWidth="true" hidden="false" outlineLevel="0" max="8" min="8" style="1" width="30"/>
    <col collapsed="false" customWidth="true" hidden="false" outlineLevel="0" max="9" min="9" style="1" width="9"/>
    <col collapsed="false" customWidth="true" hidden="false" outlineLevel="0" max="10" min="10" style="1" width="34"/>
    <col collapsed="false" customWidth="true" hidden="false" outlineLevel="0" max="25" min="11" style="1" width="10"/>
    <col collapsed="false" customWidth="true" hidden="false" outlineLevel="0" max="26" min="26" style="1" width="40"/>
    <col collapsed="false" customWidth="true" hidden="false" outlineLevel="0" max="27" min="27" style="1" width="10"/>
  </cols>
  <sheetData>
    <row r="1" customFormat="false" ht="17.25" hidden="false" customHeight="true" outlineLevel="0" collapsed="false">
      <c r="A1" s="5" t="s">
        <v>148</v>
      </c>
    </row>
    <row r="2" customFormat="false" ht="15" hidden="false" customHeight="true" outlineLevel="0" collapsed="false">
      <c r="A2" s="6" t="s">
        <v>149</v>
      </c>
      <c r="B2" s="6"/>
      <c r="C2" s="6"/>
      <c r="D2" s="6"/>
      <c r="E2" s="6"/>
      <c r="F2" s="6"/>
      <c r="G2" s="6"/>
      <c r="H2" s="6"/>
      <c r="I2" s="6"/>
      <c r="J2" s="6"/>
      <c r="K2" s="6"/>
      <c r="L2" s="6"/>
      <c r="M2" s="6"/>
      <c r="N2" s="6"/>
      <c r="O2" s="6"/>
      <c r="P2" s="6"/>
      <c r="Q2" s="6"/>
      <c r="R2" s="6"/>
      <c r="S2" s="6"/>
      <c r="T2" s="6"/>
      <c r="U2" s="6"/>
      <c r="V2" s="6"/>
      <c r="W2" s="6"/>
      <c r="X2" s="6"/>
      <c r="Y2" s="6"/>
      <c r="Z2" s="6"/>
      <c r="AA2" s="6"/>
    </row>
    <row r="4" customFormat="false" ht="15" hidden="false" customHeight="true" outlineLevel="0" collapsed="false">
      <c r="A4" s="27" t="s">
        <v>150</v>
      </c>
      <c r="B4" s="27" t="s">
        <v>151</v>
      </c>
      <c r="C4" s="27" t="s">
        <v>152</v>
      </c>
      <c r="D4" s="27" t="s">
        <v>153</v>
      </c>
      <c r="E4" s="27" t="s">
        <v>154</v>
      </c>
      <c r="F4" s="27" t="s">
        <v>155</v>
      </c>
      <c r="G4" s="27" t="s">
        <v>156</v>
      </c>
      <c r="H4" s="27" t="s">
        <v>157</v>
      </c>
      <c r="I4" s="27" t="s">
        <v>158</v>
      </c>
      <c r="J4" s="27" t="s">
        <v>159</v>
      </c>
      <c r="K4" s="28" t="s">
        <v>160</v>
      </c>
      <c r="L4" s="28"/>
      <c r="M4" s="28"/>
      <c r="N4" s="28" t="s">
        <v>161</v>
      </c>
      <c r="O4" s="28"/>
      <c r="P4" s="28"/>
      <c r="Q4" s="28" t="s">
        <v>162</v>
      </c>
      <c r="R4" s="28"/>
      <c r="S4" s="28"/>
      <c r="T4" s="28" t="s">
        <v>163</v>
      </c>
      <c r="U4" s="28"/>
      <c r="V4" s="28"/>
      <c r="W4" s="28" t="s">
        <v>164</v>
      </c>
      <c r="X4" s="28"/>
      <c r="Y4" s="28"/>
      <c r="Z4" s="29" t="s">
        <v>165</v>
      </c>
      <c r="AA4" s="29" t="s">
        <v>166</v>
      </c>
    </row>
    <row r="5" customFormat="false" ht="15" hidden="false" customHeight="true" outlineLevel="0" collapsed="false">
      <c r="A5" s="27"/>
      <c r="B5" s="27"/>
      <c r="C5" s="27"/>
      <c r="D5" s="27"/>
      <c r="E5" s="27"/>
      <c r="F5" s="27"/>
      <c r="G5" s="27"/>
      <c r="H5" s="27"/>
      <c r="I5" s="27"/>
      <c r="J5" s="27"/>
      <c r="K5" s="30" t="s">
        <v>60</v>
      </c>
      <c r="L5" s="30" t="s">
        <v>61</v>
      </c>
      <c r="M5" s="30" t="s">
        <v>62</v>
      </c>
      <c r="N5" s="30" t="s">
        <v>60</v>
      </c>
      <c r="O5" s="30" t="s">
        <v>61</v>
      </c>
      <c r="P5" s="30" t="s">
        <v>62</v>
      </c>
      <c r="Q5" s="30" t="s">
        <v>60</v>
      </c>
      <c r="R5" s="30" t="s">
        <v>61</v>
      </c>
      <c r="S5" s="30" t="s">
        <v>62</v>
      </c>
      <c r="T5" s="30" t="s">
        <v>60</v>
      </c>
      <c r="U5" s="30" t="s">
        <v>61</v>
      </c>
      <c r="V5" s="30" t="s">
        <v>62</v>
      </c>
      <c r="W5" s="30" t="s">
        <v>60</v>
      </c>
      <c r="X5" s="30" t="s">
        <v>61</v>
      </c>
      <c r="Y5" s="30" t="s">
        <v>62</v>
      </c>
      <c r="Z5" s="29"/>
      <c r="AA5" s="29"/>
    </row>
    <row r="6" customFormat="false" ht="23.25" hidden="false" customHeight="true" outlineLevel="0" collapsed="false">
      <c r="A6" s="8" t="n">
        <v>1</v>
      </c>
      <c r="B6" s="8" t="s">
        <v>167</v>
      </c>
      <c r="C6" s="8" t="s">
        <v>168</v>
      </c>
      <c r="D6" s="8" t="s">
        <v>169</v>
      </c>
      <c r="E6" s="8" t="n">
        <v>1</v>
      </c>
      <c r="F6" s="31" t="n">
        <v>9774</v>
      </c>
      <c r="G6" s="31" t="n">
        <f aca="false">F6</f>
        <v>9774</v>
      </c>
      <c r="H6" s="8" t="s">
        <v>170</v>
      </c>
      <c r="I6" s="22" t="s">
        <v>171</v>
      </c>
      <c r="J6" s="8" t="s">
        <v>172</v>
      </c>
      <c r="K6" s="32" t="n">
        <f aca="false">IF(Calculations!I5="","",Calculations!I5)</f>
        <v>660.91788</v>
      </c>
      <c r="L6" s="33" t="n">
        <f aca="false">IF(Calculations!I6="","",Calculations!I6)</f>
        <v>899.208</v>
      </c>
      <c r="M6" s="32" t="n">
        <f aca="false">IF(Calculations!I7="","",Calculations!I7)</f>
        <v>1038.58524</v>
      </c>
      <c r="N6" s="34" t="n">
        <f aca="false">IF(Calculations!K5="","",Calculations!K5/1000)</f>
        <v>609.564560724</v>
      </c>
      <c r="O6" s="35" t="n">
        <f aca="false">IF(Calculations!K6="","",Calculations!K6/1000)</f>
        <v>829.3395384</v>
      </c>
      <c r="P6" s="34" t="n">
        <f aca="false">IF(Calculations!K7="","",Calculations!K7/1000)</f>
        <v>957.887166852</v>
      </c>
      <c r="Q6" s="32" t="n">
        <f aca="false">IF(Calculations!T5="","",Calculations!T5)</f>
        <v>63199.407794413</v>
      </c>
      <c r="R6" s="33" t="n">
        <f aca="false">IF(Calculations!T6="","",Calculations!T6)</f>
        <v>127021.364946864</v>
      </c>
      <c r="S6" s="32" t="n">
        <f aca="false">IF(Calculations!T7="","",Calculations!T7)</f>
        <v>187783.942620527</v>
      </c>
      <c r="T6" s="36" t="n">
        <f aca="false">IF(Calculations!W5="","",Calculations!W5)</f>
        <v>11.50342532267</v>
      </c>
      <c r="U6" s="37" t="n">
        <f aca="false">IF(Calculations!W6="","",Calculations!W6)</f>
        <v>6.37126833220965</v>
      </c>
      <c r="V6" s="36" t="n">
        <f aca="false">IF(Calculations!W7="","",Calculations!W7)</f>
        <v>3.87152201543206</v>
      </c>
      <c r="W6" s="34" t="n">
        <f aca="false">IF(Calculations!Y5="","",Calculations!Y5)</f>
        <v>79.828574872415</v>
      </c>
      <c r="X6" s="35" t="n">
        <f aca="false">IF(Calculations!Y6="","",Calculations!Y6)</f>
        <v>108.610305948864</v>
      </c>
      <c r="Y6" s="34" t="n">
        <f aca="false">IF(Calculations!Y7="","",Calculations!Y7)</f>
        <v>125.444903370938</v>
      </c>
      <c r="Z6" s="8" t="str">
        <f aca="false">IF($I6="Pending","Sizing pending: angled roof, roof planes not measured (LiDAR or survey needed)",IF(L6&gt;Inputs!$D$15,"Central size above 1 MWp: likely limited by site demand or grid capacity",IF(M6&gt;Inputs!$E$15,"High scenario above 1 MWp: check site demand and grid capacity","")))</f>
        <v>High scenario above 1 MWp: check site demand and grid capacity</v>
      </c>
      <c r="AA6" s="38" t="s">
        <v>173</v>
      </c>
    </row>
    <row r="7" customFormat="false" ht="34.5" hidden="false" customHeight="true" outlineLevel="0" collapsed="false">
      <c r="A7" s="8" t="n">
        <v>11</v>
      </c>
      <c r="B7" s="8" t="s">
        <v>174</v>
      </c>
      <c r="C7" s="8" t="s">
        <v>168</v>
      </c>
      <c r="D7" s="8" t="s">
        <v>175</v>
      </c>
      <c r="E7" s="8" t="n">
        <v>1</v>
      </c>
      <c r="F7" s="31" t="n">
        <v>80278</v>
      </c>
      <c r="G7" s="31" t="n">
        <f aca="false">F7</f>
        <v>80278</v>
      </c>
      <c r="H7" s="8" t="s">
        <v>170</v>
      </c>
      <c r="I7" s="39" t="s">
        <v>176</v>
      </c>
      <c r="J7" s="8" t="s">
        <v>177</v>
      </c>
      <c r="K7" s="32" t="str">
        <f aca="false">IF(Calculations!I8="","",Calculations!I8)</f>
        <v/>
      </c>
      <c r="L7" s="33" t="str">
        <f aca="false">IF(Calculations!I9="","",Calculations!I9)</f>
        <v/>
      </c>
      <c r="M7" s="32" t="str">
        <f aca="false">IF(Calculations!I10="","",Calculations!I10)</f>
        <v/>
      </c>
      <c r="N7" s="34" t="str">
        <f aca="false">IF(Calculations!K8="","",Calculations!K8/1000)</f>
        <v/>
      </c>
      <c r="O7" s="35" t="str">
        <f aca="false">IF(Calculations!K9="","",Calculations!K9/1000)</f>
        <v/>
      </c>
      <c r="P7" s="34" t="str">
        <f aca="false">IF(Calculations!K10="","",Calculations!K10/1000)</f>
        <v/>
      </c>
      <c r="Q7" s="32" t="str">
        <f aca="false">IF(Calculations!T8="","",Calculations!T8)</f>
        <v/>
      </c>
      <c r="R7" s="33" t="str">
        <f aca="false">IF(Calculations!T9="","",Calculations!T9)</f>
        <v/>
      </c>
      <c r="S7" s="32" t="str">
        <f aca="false">IF(Calculations!T10="","",Calculations!T10)</f>
        <v/>
      </c>
      <c r="T7" s="36" t="str">
        <f aca="false">IF(Calculations!W8="","",Calculations!W8)</f>
        <v/>
      </c>
      <c r="U7" s="37" t="str">
        <f aca="false">IF(Calculations!W9="","",Calculations!W9)</f>
        <v/>
      </c>
      <c r="V7" s="36" t="str">
        <f aca="false">IF(Calculations!W10="","",Calculations!W10)</f>
        <v/>
      </c>
      <c r="W7" s="34" t="str">
        <f aca="false">IF(Calculations!Y8="","",Calculations!Y8)</f>
        <v/>
      </c>
      <c r="X7" s="35" t="str">
        <f aca="false">IF(Calculations!Y9="","",Calculations!Y9)</f>
        <v/>
      </c>
      <c r="Y7" s="34" t="str">
        <f aca="false">IF(Calculations!Y10="","",Calculations!Y10)</f>
        <v/>
      </c>
      <c r="Z7" s="8" t="str">
        <f aca="false">IF($I7="Pending","Sizing pending: angled roof, roof planes not measured (LiDAR or survey needed)",IF(L7&gt;Inputs!$D$15,"Central size above 1 MWp: likely limited by site demand or grid capacity",IF(M7&gt;Inputs!$E$15,"High scenario above 1 MWp: check site demand and grid capacity","")))</f>
        <v>Sizing pending: angled roof, roof planes not measured (LiDAR or survey needed)</v>
      </c>
      <c r="AA7" s="38" t="s">
        <v>173</v>
      </c>
    </row>
    <row r="8" customFormat="false" ht="34.5" hidden="false" customHeight="true" outlineLevel="0" collapsed="false">
      <c r="A8" s="8" t="n">
        <v>12</v>
      </c>
      <c r="B8" s="8" t="s">
        <v>178</v>
      </c>
      <c r="C8" s="8" t="s">
        <v>168</v>
      </c>
      <c r="D8" s="8" t="s">
        <v>179</v>
      </c>
      <c r="E8" s="8" t="n">
        <v>1</v>
      </c>
      <c r="F8" s="31" t="n">
        <v>8401</v>
      </c>
      <c r="G8" s="16" t="n">
        <v>5488</v>
      </c>
      <c r="H8" s="8" t="s">
        <v>180</v>
      </c>
      <c r="I8" s="22" t="s">
        <v>171</v>
      </c>
      <c r="J8" s="8" t="s">
        <v>181</v>
      </c>
      <c r="K8" s="32" t="n">
        <f aca="false">IF(Calculations!I11="","",Calculations!I11)</f>
        <v>371.09856</v>
      </c>
      <c r="L8" s="33" t="n">
        <f aca="false">IF(Calculations!I12="","",Calculations!I12)</f>
        <v>504.896</v>
      </c>
      <c r="M8" s="32" t="n">
        <f aca="false">IF(Calculations!I13="","",Calculations!I13)</f>
        <v>583.15488</v>
      </c>
      <c r="N8" s="34" t="n">
        <f aca="false">IF(Calculations!K11="","",Calculations!K11/1000)</f>
        <v>342.264201888</v>
      </c>
      <c r="O8" s="35" t="n">
        <f aca="false">IF(Calculations!K12="","",Calculations!K12/1000)</f>
        <v>465.6655808</v>
      </c>
      <c r="P8" s="34" t="n">
        <f aca="false">IF(Calculations!K13="","",Calculations!K13/1000)</f>
        <v>537.843745824</v>
      </c>
      <c r="Q8" s="32" t="n">
        <f aca="false">IF(Calculations!T11="","",Calculations!T11)</f>
        <v>35485.8144030835</v>
      </c>
      <c r="R8" s="33" t="n">
        <f aca="false">IF(Calculations!T12="","",Calculations!T12)</f>
        <v>71321.183837568</v>
      </c>
      <c r="S8" s="32" t="n">
        <f aca="false">IF(Calculations!T13="","",Calculations!T13)</f>
        <v>105438.743308927</v>
      </c>
      <c r="T8" s="36" t="n">
        <f aca="false">IF(Calculations!W11="","",Calculations!W11)</f>
        <v>11.50342532267</v>
      </c>
      <c r="U8" s="37" t="n">
        <f aca="false">IF(Calculations!W12="","",Calculations!W12)</f>
        <v>6.37126833220965</v>
      </c>
      <c r="V8" s="36" t="n">
        <f aca="false">IF(Calculations!W13="","",Calculations!W13)</f>
        <v>3.87152201543206</v>
      </c>
      <c r="W8" s="34" t="n">
        <f aca="false">IF(Calculations!Y11="","",Calculations!Y11)</f>
        <v>44.8229198792525</v>
      </c>
      <c r="X8" s="35" t="n">
        <f aca="false">IF(Calculations!Y12="","",Calculations!Y12)</f>
        <v>60.983564461568</v>
      </c>
      <c r="Y8" s="34" t="n">
        <f aca="false">IF(Calculations!Y13="","",Calculations!Y13)</f>
        <v>70.436016953111</v>
      </c>
      <c r="Z8" s="8" t="str">
        <f aca="false">IF($I8="Pending","Sizing pending: angled roof, roof planes not measured (LiDAR or survey needed)",IF(L8&gt;Inputs!$D$15,"Central size above 1 MWp: likely limited by site demand or grid capacity",IF(M8&gt;Inputs!$E$15,"High scenario above 1 MWp: check site demand and grid capacity","")))</f>
        <v/>
      </c>
      <c r="AA8" s="38" t="s">
        <v>173</v>
      </c>
    </row>
    <row r="9" customFormat="false" ht="23.25" hidden="false" customHeight="true" outlineLevel="0" collapsed="false">
      <c r="A9" s="8" t="n">
        <v>50</v>
      </c>
      <c r="B9" s="8" t="s">
        <v>182</v>
      </c>
      <c r="C9" s="8" t="s">
        <v>168</v>
      </c>
      <c r="D9" s="8" t="s">
        <v>179</v>
      </c>
      <c r="E9" s="8" t="n">
        <v>1</v>
      </c>
      <c r="F9" s="31" t="n">
        <v>11652</v>
      </c>
      <c r="G9" s="31" t="n">
        <f aca="false">F9</f>
        <v>11652</v>
      </c>
      <c r="H9" s="8" t="s">
        <v>170</v>
      </c>
      <c r="I9" s="22" t="s">
        <v>171</v>
      </c>
      <c r="J9" s="8" t="s">
        <v>172</v>
      </c>
      <c r="K9" s="32" t="n">
        <f aca="false">IF(Calculations!I14="","",Calculations!I14)</f>
        <v>787.90824</v>
      </c>
      <c r="L9" s="33" t="n">
        <f aca="false">IF(Calculations!I15="","",Calculations!I15)</f>
        <v>1071.984</v>
      </c>
      <c r="M9" s="32" t="n">
        <f aca="false">IF(Calculations!I16="","",Calculations!I16)</f>
        <v>1238.14152</v>
      </c>
      <c r="N9" s="34" t="n">
        <f aca="false">IF(Calculations!K14="","",Calculations!K14/1000)</f>
        <v>726.687769752</v>
      </c>
      <c r="O9" s="35" t="n">
        <f aca="false">IF(Calculations!K15="","",Calculations!K15/1000)</f>
        <v>988.6908432</v>
      </c>
      <c r="P9" s="34" t="n">
        <f aca="false">IF(Calculations!K16="","",Calculations!K16/1000)</f>
        <v>1141.937923896</v>
      </c>
      <c r="Q9" s="32" t="n">
        <f aca="false">IF(Calculations!T14="","",Calculations!T14)</f>
        <v>75342.6948660221</v>
      </c>
      <c r="R9" s="33" t="n">
        <f aca="false">IF(Calculations!T15="","",Calculations!T15)</f>
        <v>151427.557229472</v>
      </c>
      <c r="S9" s="32" t="n">
        <f aca="false">IF(Calculations!T16="","",Calculations!T16)</f>
        <v>223865.203541475</v>
      </c>
      <c r="T9" s="36" t="n">
        <f aca="false">IF(Calculations!W14="","",Calculations!W14)</f>
        <v>11.50342532267</v>
      </c>
      <c r="U9" s="37" t="n">
        <f aca="false">IF(Calculations!W15="","",Calculations!W15)</f>
        <v>6.37126833220966</v>
      </c>
      <c r="V9" s="36" t="n">
        <f aca="false">IF(Calculations!W16="","",Calculations!W16)</f>
        <v>3.87152201543206</v>
      </c>
      <c r="W9" s="34" t="n">
        <f aca="false">IF(Calculations!Y14="","",Calculations!Y14)</f>
        <v>95.1670303267219</v>
      </c>
      <c r="X9" s="35" t="n">
        <f aca="false">IF(Calculations!Y15="","",Calculations!Y15)</f>
        <v>129.478952825472</v>
      </c>
      <c r="Y9" s="34" t="n">
        <f aca="false">IF(Calculations!Y16="","",Calculations!Y16)</f>
        <v>149.54819051342</v>
      </c>
      <c r="Z9" s="8" t="str">
        <f aca="false">IF($I9="Pending","Sizing pending: angled roof, roof planes not measured (LiDAR or survey needed)",IF(L9&gt;Inputs!$D$15,"Central size above 1 MWp: likely limited by site demand or grid capacity",IF(M9&gt;Inputs!$E$15,"High scenario above 1 MWp: check site demand and grid capacity","")))</f>
        <v>Central size above 1 MWp: likely limited by site demand or grid capacity</v>
      </c>
      <c r="AA9" s="38" t="s">
        <v>173</v>
      </c>
    </row>
    <row r="10" customFormat="false" ht="23.25" hidden="false" customHeight="true" outlineLevel="0" collapsed="false">
      <c r="A10" s="8" t="n">
        <v>26</v>
      </c>
      <c r="B10" s="8" t="s">
        <v>183</v>
      </c>
      <c r="C10" s="8" t="s">
        <v>168</v>
      </c>
      <c r="D10" s="8" t="s">
        <v>184</v>
      </c>
      <c r="E10" s="8" t="n">
        <v>3</v>
      </c>
      <c r="F10" s="31" t="n">
        <v>5428</v>
      </c>
      <c r="G10" s="31" t="n">
        <f aca="false">F10</f>
        <v>5428</v>
      </c>
      <c r="H10" s="8" t="s">
        <v>170</v>
      </c>
      <c r="I10" s="22" t="s">
        <v>171</v>
      </c>
      <c r="J10" s="8" t="s">
        <v>172</v>
      </c>
      <c r="K10" s="32" t="n">
        <f aca="false">IF(Calculations!I17="","",Calculations!I17)</f>
        <v>367.04136</v>
      </c>
      <c r="L10" s="33" t="n">
        <f aca="false">IF(Calculations!I18="","",Calculations!I18)</f>
        <v>499.376</v>
      </c>
      <c r="M10" s="32" t="n">
        <f aca="false">IF(Calculations!I19="","",Calculations!I19)</f>
        <v>576.77928</v>
      </c>
      <c r="N10" s="34" t="n">
        <f aca="false">IF(Calculations!K17="","",Calculations!K17/1000)</f>
        <v>338.522246328</v>
      </c>
      <c r="O10" s="35" t="n">
        <f aca="false">IF(Calculations!K18="","",Calculations!K18/1000)</f>
        <v>460.5744848</v>
      </c>
      <c r="P10" s="34" t="n">
        <f aca="false">IF(Calculations!K19="","",Calculations!K19/1000)</f>
        <v>531.963529944</v>
      </c>
      <c r="Q10" s="32" t="n">
        <f aca="false">IF(Calculations!T17="","",Calculations!T17)</f>
        <v>35097.8499599011</v>
      </c>
      <c r="R10" s="33" t="n">
        <f aca="false">IF(Calculations!T18="","",Calculations!T18)</f>
        <v>70541.433285408</v>
      </c>
      <c r="S10" s="32" t="n">
        <f aca="false">IF(Calculations!T19="","",Calculations!T19)</f>
        <v>104285.98736896</v>
      </c>
      <c r="T10" s="36" t="n">
        <f aca="false">IF(Calculations!W17="","",Calculations!W17)</f>
        <v>11.50342532267</v>
      </c>
      <c r="U10" s="37" t="n">
        <f aca="false">IF(Calculations!W18="","",Calculations!W18)</f>
        <v>6.37126833220965</v>
      </c>
      <c r="V10" s="36" t="n">
        <f aca="false">IF(Calculations!W19="","",Calculations!W19)</f>
        <v>3.87152201543206</v>
      </c>
      <c r="W10" s="34" t="n">
        <f aca="false">IF(Calculations!Y17="","",Calculations!Y17)</f>
        <v>44.3328733791149</v>
      </c>
      <c r="X10" s="35" t="n">
        <f aca="false">IF(Calculations!Y18="","",Calculations!Y18)</f>
        <v>60.316834529408</v>
      </c>
      <c r="Y10" s="34" t="n">
        <f aca="false">IF(Calculations!Y19="","",Calculations!Y19)</f>
        <v>69.6659438814662</v>
      </c>
      <c r="Z10" s="8" t="str">
        <f aca="false">IF($I10="Pending","Sizing pending: angled roof, roof planes not measured (LiDAR or survey needed)",IF(L10&gt;Inputs!$D$15,"Central size above 1 MWp: likely limited by site demand or grid capacity",IF(M10&gt;Inputs!$E$15,"High scenario above 1 MWp: check site demand and grid capacity","")))</f>
        <v/>
      </c>
      <c r="AA10" s="38" t="s">
        <v>173</v>
      </c>
    </row>
    <row r="11" customFormat="false" ht="23.25" hidden="false" customHeight="true" outlineLevel="0" collapsed="false">
      <c r="A11" s="8" t="n">
        <v>13</v>
      </c>
      <c r="B11" s="8" t="s">
        <v>185</v>
      </c>
      <c r="C11" s="8" t="s">
        <v>168</v>
      </c>
      <c r="D11" s="8" t="s">
        <v>186</v>
      </c>
      <c r="E11" s="8" t="n">
        <v>1</v>
      </c>
      <c r="F11" s="31" t="n">
        <v>4424</v>
      </c>
      <c r="G11" s="31" t="n">
        <f aca="false">F11</f>
        <v>4424</v>
      </c>
      <c r="H11" s="8" t="s">
        <v>170</v>
      </c>
      <c r="I11" s="22" t="s">
        <v>171</v>
      </c>
      <c r="J11" s="8" t="s">
        <v>172</v>
      </c>
      <c r="K11" s="32" t="n">
        <f aca="false">IF(Calculations!I20="","",Calculations!I20)</f>
        <v>299.15088</v>
      </c>
      <c r="L11" s="33" t="n">
        <f aca="false">IF(Calculations!I21="","",Calculations!I21)</f>
        <v>407.008</v>
      </c>
      <c r="M11" s="32" t="n">
        <f aca="false">IF(Calculations!I22="","",Calculations!I22)</f>
        <v>470.09424</v>
      </c>
      <c r="N11" s="34" t="n">
        <f aca="false">IF(Calculations!K20="","",Calculations!K20/1000)</f>
        <v>275.906856624</v>
      </c>
      <c r="O11" s="35" t="n">
        <f aca="false">IF(Calculations!K21="","",Calculations!K21/1000)</f>
        <v>375.3834784</v>
      </c>
      <c r="P11" s="34" t="n">
        <f aca="false">IF(Calculations!K22="","",Calculations!K22/1000)</f>
        <v>433.567917552</v>
      </c>
      <c r="Q11" s="32" t="n">
        <f aca="false">IF(Calculations!T20="","",Calculations!T20)</f>
        <v>28605.911610649</v>
      </c>
      <c r="R11" s="33" t="n">
        <f aca="false">IF(Calculations!T21="","",Calculations!T21)</f>
        <v>57493.607379264</v>
      </c>
      <c r="S11" s="32" t="n">
        <f aca="false">IF(Calculations!T22="","",Calculations!T22)</f>
        <v>84996.5379735226</v>
      </c>
      <c r="T11" s="36" t="n">
        <f aca="false">IF(Calculations!W20="","",Calculations!W20)</f>
        <v>11.50342532267</v>
      </c>
      <c r="U11" s="37" t="n">
        <f aca="false">IF(Calculations!W21="","",Calculations!W21)</f>
        <v>6.37126833220965</v>
      </c>
      <c r="V11" s="36" t="n">
        <f aca="false">IF(Calculations!W22="","",Calculations!W22)</f>
        <v>3.87152201543206</v>
      </c>
      <c r="W11" s="34" t="n">
        <f aca="false">IF(Calculations!Y20="","",Calculations!Y20)</f>
        <v>36.132761943479</v>
      </c>
      <c r="X11" s="35" t="n">
        <f aca="false">IF(Calculations!Y21="","",Calculations!Y21)</f>
        <v>49.160220331264</v>
      </c>
      <c r="Y11" s="34" t="n">
        <f aca="false">IF(Calculations!Y22="","",Calculations!Y22)</f>
        <v>56.7800544826099</v>
      </c>
      <c r="Z11" s="8" t="str">
        <f aca="false">IF($I11="Pending","Sizing pending: angled roof, roof planes not measured (LiDAR or survey needed)",IF(L11&gt;Inputs!$D$15,"Central size above 1 MWp: likely limited by site demand or grid capacity",IF(M11&gt;Inputs!$E$15,"High scenario above 1 MWp: check site demand and grid capacity","")))</f>
        <v/>
      </c>
      <c r="AA11" s="38" t="s">
        <v>173</v>
      </c>
    </row>
    <row r="12" customFormat="false" ht="23.25" hidden="false" customHeight="true" outlineLevel="0" collapsed="false">
      <c r="A12" s="8" t="n">
        <v>24</v>
      </c>
      <c r="B12" s="8" t="s">
        <v>187</v>
      </c>
      <c r="C12" s="8" t="s">
        <v>168</v>
      </c>
      <c r="D12" s="8" t="s">
        <v>188</v>
      </c>
      <c r="E12" s="8" t="n">
        <v>3</v>
      </c>
      <c r="F12" s="31" t="n">
        <v>9070</v>
      </c>
      <c r="G12" s="31" t="n">
        <f aca="false">F12</f>
        <v>9070</v>
      </c>
      <c r="H12" s="8" t="s">
        <v>170</v>
      </c>
      <c r="I12" s="22" t="s">
        <v>171</v>
      </c>
      <c r="J12" s="8" t="s">
        <v>172</v>
      </c>
      <c r="K12" s="32" t="n">
        <f aca="false">IF(Calculations!I23="","",Calculations!I23)</f>
        <v>613.3134</v>
      </c>
      <c r="L12" s="33" t="n">
        <f aca="false">IF(Calculations!I24="","",Calculations!I24)</f>
        <v>834.44</v>
      </c>
      <c r="M12" s="32" t="n">
        <f aca="false">IF(Calculations!I25="","",Calculations!I25)</f>
        <v>963.7782</v>
      </c>
      <c r="N12" s="34" t="n">
        <f aca="false">IF(Calculations!K23="","",Calculations!K23/1000)</f>
        <v>565.65894882</v>
      </c>
      <c r="O12" s="35" t="n">
        <f aca="false">IF(Calculations!K24="","",Calculations!K24/1000)</f>
        <v>769.604012</v>
      </c>
      <c r="P12" s="34" t="n">
        <f aca="false">IF(Calculations!K25="","",Calculations!K25/1000)</f>
        <v>888.89263386</v>
      </c>
      <c r="Q12" s="32" t="n">
        <f aca="false">IF(Calculations!T23="","",Calculations!T23)</f>
        <v>58647.2916610728</v>
      </c>
      <c r="R12" s="33" t="n">
        <f aca="false">IF(Calculations!T24="","",Calculations!T24)</f>
        <v>117872.29180152</v>
      </c>
      <c r="S12" s="32" t="n">
        <f aca="false">IF(Calculations!T25="","",Calculations!T25)</f>
        <v>174258.272924921</v>
      </c>
      <c r="T12" s="36" t="n">
        <f aca="false">IF(Calculations!W23="","",Calculations!W23)</f>
        <v>11.50342532267</v>
      </c>
      <c r="U12" s="37" t="n">
        <f aca="false">IF(Calculations!W24="","",Calculations!W24)</f>
        <v>6.37126833220966</v>
      </c>
      <c r="V12" s="36" t="n">
        <f aca="false">IF(Calculations!W25="","",Calculations!W25)</f>
        <v>3.87152201543206</v>
      </c>
      <c r="W12" s="34" t="n">
        <f aca="false">IF(Calculations!Y23="","",Calculations!Y23)</f>
        <v>74.0786959374672</v>
      </c>
      <c r="X12" s="35" t="n">
        <f aca="false">IF(Calculations!Y24="","",Calculations!Y24)</f>
        <v>100.78734141152</v>
      </c>
      <c r="Y12" s="34" t="n">
        <f aca="false">IF(Calculations!Y25="","",Calculations!Y25)</f>
        <v>116.409379330306</v>
      </c>
      <c r="Z12" s="8" t="str">
        <f aca="false">IF($I12="Pending","Sizing pending: angled roof, roof planes not measured (LiDAR or survey needed)",IF(L12&gt;Inputs!$D$15,"Central size above 1 MWp: likely limited by site demand or grid capacity",IF(M12&gt;Inputs!$E$15,"High scenario above 1 MWp: check site demand and grid capacity","")))</f>
        <v/>
      </c>
      <c r="AA12" s="38" t="s">
        <v>173</v>
      </c>
    </row>
    <row r="13" customFormat="false" ht="23.25" hidden="false" customHeight="true" outlineLevel="0" collapsed="false">
      <c r="A13" s="8" t="n">
        <v>28</v>
      </c>
      <c r="B13" s="8" t="s">
        <v>189</v>
      </c>
      <c r="C13" s="8" t="s">
        <v>168</v>
      </c>
      <c r="D13" s="8" t="s">
        <v>190</v>
      </c>
      <c r="E13" s="8" t="n">
        <v>1</v>
      </c>
      <c r="F13" s="31" t="n">
        <v>3900</v>
      </c>
      <c r="G13" s="31" t="n">
        <f aca="false">F13</f>
        <v>3900</v>
      </c>
      <c r="H13" s="8" t="s">
        <v>170</v>
      </c>
      <c r="I13" s="22" t="s">
        <v>171</v>
      </c>
      <c r="J13" s="8" t="s">
        <v>172</v>
      </c>
      <c r="K13" s="32" t="n">
        <f aca="false">IF(Calculations!I26="","",Calculations!I26)</f>
        <v>263.718</v>
      </c>
      <c r="L13" s="33" t="n">
        <f aca="false">IF(Calculations!I27="","",Calculations!I27)</f>
        <v>358.8</v>
      </c>
      <c r="M13" s="32" t="n">
        <f aca="false">IF(Calculations!I28="","",Calculations!I28)</f>
        <v>414.414</v>
      </c>
      <c r="N13" s="34" t="n">
        <f aca="false">IF(Calculations!K26="","",Calculations!K26/1000)</f>
        <v>243.2271114</v>
      </c>
      <c r="O13" s="35" t="n">
        <f aca="false">IF(Calculations!K27="","",Calculations!K27/1000)</f>
        <v>330.92124</v>
      </c>
      <c r="P13" s="34" t="n">
        <f aca="false">IF(Calculations!K28="","",Calculations!K28/1000)</f>
        <v>382.2140322</v>
      </c>
      <c r="Q13" s="32" t="n">
        <f aca="false">IF(Calculations!T26="","",Calculations!T26)</f>
        <v>25217.688806856</v>
      </c>
      <c r="R13" s="33" t="n">
        <f aca="false">IF(Calculations!T27="","",Calculations!T27)</f>
        <v>50683.7858904</v>
      </c>
      <c r="S13" s="32" t="n">
        <f aca="false">IF(Calculations!T28="","",Calculations!T28)</f>
        <v>74929.136097816</v>
      </c>
      <c r="T13" s="36" t="n">
        <f aca="false">IF(Calculations!W26="","",Calculations!W26)</f>
        <v>11.50342532267</v>
      </c>
      <c r="U13" s="37" t="n">
        <f aca="false">IF(Calculations!W27="","",Calculations!W27)</f>
        <v>6.37126833220965</v>
      </c>
      <c r="V13" s="36" t="n">
        <f aca="false">IF(Calculations!W28="","",Calculations!W28)</f>
        <v>3.87152201543206</v>
      </c>
      <c r="W13" s="34" t="n">
        <f aca="false">IF(Calculations!Y26="","",Calculations!Y26)</f>
        <v>31.853022508944</v>
      </c>
      <c r="X13" s="35" t="n">
        <f aca="false">IF(Calculations!Y27="","",Calculations!Y27)</f>
        <v>43.3374455904</v>
      </c>
      <c r="Y13" s="34" t="n">
        <f aca="false">IF(Calculations!Y28="","",Calculations!Y28)</f>
        <v>50.054749656912</v>
      </c>
      <c r="Z13" s="8" t="str">
        <f aca="false">IF($I13="Pending","Sizing pending: angled roof, roof planes not measured (LiDAR or survey needed)",IF(L13&gt;Inputs!$D$15,"Central size above 1 MWp: likely limited by site demand or grid capacity",IF(M13&gt;Inputs!$E$15,"High scenario above 1 MWp: check site demand and grid capacity","")))</f>
        <v/>
      </c>
      <c r="AA13" s="38" t="s">
        <v>173</v>
      </c>
    </row>
    <row r="14" customFormat="false" ht="23.25" hidden="false" customHeight="true" outlineLevel="0" collapsed="false">
      <c r="A14" s="8" t="n">
        <v>5</v>
      </c>
      <c r="B14" s="8" t="s">
        <v>191</v>
      </c>
      <c r="C14" s="8" t="s">
        <v>168</v>
      </c>
      <c r="D14" s="8" t="s">
        <v>190</v>
      </c>
      <c r="E14" s="8" t="n">
        <v>1</v>
      </c>
      <c r="F14" s="31" t="n">
        <v>3243</v>
      </c>
      <c r="G14" s="31" t="n">
        <f aca="false">F14</f>
        <v>3243</v>
      </c>
      <c r="H14" s="8" t="s">
        <v>170</v>
      </c>
      <c r="I14" s="22" t="s">
        <v>171</v>
      </c>
      <c r="J14" s="8" t="s">
        <v>172</v>
      </c>
      <c r="K14" s="32" t="n">
        <f aca="false">IF(Calculations!I29="","",Calculations!I29)</f>
        <v>219.29166</v>
      </c>
      <c r="L14" s="33" t="n">
        <f aca="false">IF(Calculations!I30="","",Calculations!I30)</f>
        <v>298.356</v>
      </c>
      <c r="M14" s="32" t="n">
        <f aca="false">IF(Calculations!I31="","",Calculations!I31)</f>
        <v>344.60118</v>
      </c>
      <c r="N14" s="34" t="n">
        <f aca="false">IF(Calculations!K29="","",Calculations!K29/1000)</f>
        <v>202.252698018</v>
      </c>
      <c r="O14" s="35" t="n">
        <f aca="false">IF(Calculations!K30="","",Calculations!K30/1000)</f>
        <v>275.1737388</v>
      </c>
      <c r="P14" s="34" t="n">
        <f aca="false">IF(Calculations!K31="","",Calculations!K31/1000)</f>
        <v>317.825668314</v>
      </c>
      <c r="Q14" s="32" t="n">
        <f aca="false">IF(Calculations!T29="","",Calculations!T29)</f>
        <v>20969.4781540087</v>
      </c>
      <c r="R14" s="33" t="n">
        <f aca="false">IF(Calculations!T30="","",Calculations!T30)</f>
        <v>42145.517344248</v>
      </c>
      <c r="S14" s="32" t="n">
        <f aca="false">IF(Calculations!T31="","",Calculations!T31)</f>
        <v>62306.4585551839</v>
      </c>
      <c r="T14" s="36" t="n">
        <f aca="false">IF(Calculations!W29="","",Calculations!W29)</f>
        <v>11.50342532267</v>
      </c>
      <c r="U14" s="37" t="n">
        <f aca="false">IF(Calculations!W30="","",Calculations!W30)</f>
        <v>6.37126833220965</v>
      </c>
      <c r="V14" s="36" t="n">
        <f aca="false">IF(Calculations!W31="","",Calculations!W31)</f>
        <v>3.87152201543206</v>
      </c>
      <c r="W14" s="34" t="n">
        <f aca="false">IF(Calculations!Y29="","",Calculations!Y29)</f>
        <v>26.4870133324373</v>
      </c>
      <c r="X14" s="35" t="n">
        <f aca="false">IF(Calculations!Y30="","",Calculations!Y30)</f>
        <v>36.036752833248</v>
      </c>
      <c r="Y14" s="34" t="n">
        <f aca="false">IF(Calculations!Y31="","",Calculations!Y31)</f>
        <v>41.6224495224014</v>
      </c>
      <c r="Z14" s="8" t="str">
        <f aca="false">IF($I14="Pending","Sizing pending: angled roof, roof planes not measured (LiDAR or survey needed)",IF(L14&gt;Inputs!$D$15,"Central size above 1 MWp: likely limited by site demand or grid capacity",IF(M14&gt;Inputs!$E$15,"High scenario above 1 MWp: check site demand and grid capacity","")))</f>
        <v/>
      </c>
      <c r="AA14" s="38" t="s">
        <v>173</v>
      </c>
    </row>
    <row r="15" customFormat="false" ht="23.25" hidden="false" customHeight="true" outlineLevel="0" collapsed="false">
      <c r="A15" s="8" t="n">
        <v>7</v>
      </c>
      <c r="B15" s="8" t="s">
        <v>192</v>
      </c>
      <c r="C15" s="8" t="s">
        <v>168</v>
      </c>
      <c r="D15" s="8" t="s">
        <v>193</v>
      </c>
      <c r="E15" s="8" t="n">
        <v>1</v>
      </c>
      <c r="F15" s="31" t="n">
        <v>2784</v>
      </c>
      <c r="G15" s="31" t="n">
        <f aca="false">F15</f>
        <v>2784</v>
      </c>
      <c r="H15" s="8" t="s">
        <v>170</v>
      </c>
      <c r="I15" s="22" t="s">
        <v>171</v>
      </c>
      <c r="J15" s="8" t="s">
        <v>172</v>
      </c>
      <c r="K15" s="32" t="n">
        <f aca="false">IF(Calculations!I32="","",Calculations!I32)</f>
        <v>188.25408</v>
      </c>
      <c r="L15" s="33" t="n">
        <f aca="false">IF(Calculations!I33="","",Calculations!I33)</f>
        <v>256.128</v>
      </c>
      <c r="M15" s="32" t="n">
        <f aca="false">IF(Calculations!I34="","",Calculations!I34)</f>
        <v>295.82784</v>
      </c>
      <c r="N15" s="34" t="n">
        <f aca="false">IF(Calculations!K32="","",Calculations!K32/1000)</f>
        <v>173.626737984</v>
      </c>
      <c r="O15" s="35" t="n">
        <f aca="false">IF(Calculations!K33="","",Calculations!K33/1000)</f>
        <v>236.2268544</v>
      </c>
      <c r="P15" s="34" t="n">
        <f aca="false">IF(Calculations!K34="","",Calculations!K34/1000)</f>
        <v>272.842016832</v>
      </c>
      <c r="Q15" s="32" t="n">
        <f aca="false">IF(Calculations!T32="","",Calculations!T32)</f>
        <v>18001.5501636634</v>
      </c>
      <c r="R15" s="33" t="n">
        <f aca="false">IF(Calculations!T33="","",Calculations!T33)</f>
        <v>36180.425620224</v>
      </c>
      <c r="S15" s="32" t="n">
        <f aca="false">IF(Calculations!T34="","",Calculations!T34)</f>
        <v>53487.875614441</v>
      </c>
      <c r="T15" s="36" t="n">
        <f aca="false">IF(Calculations!W32="","",Calculations!W32)</f>
        <v>11.50342532267</v>
      </c>
      <c r="U15" s="37" t="n">
        <f aca="false">IF(Calculations!W33="","",Calculations!W33)</f>
        <v>6.37126833220966</v>
      </c>
      <c r="V15" s="36" t="n">
        <f aca="false">IF(Calculations!W34="","",Calculations!W34)</f>
        <v>3.87152201543206</v>
      </c>
      <c r="W15" s="34" t="n">
        <f aca="false">IF(Calculations!Y32="","",Calculations!Y32)</f>
        <v>22.7381576063846</v>
      </c>
      <c r="X15" s="35" t="n">
        <f aca="false">IF(Calculations!Y33="","",Calculations!Y33)</f>
        <v>30.936268852224</v>
      </c>
      <c r="Y15" s="34" t="n">
        <f aca="false">IF(Calculations!Y34="","",Calculations!Y34)</f>
        <v>35.7313905243187</v>
      </c>
      <c r="Z15" s="8" t="str">
        <f aca="false">IF($I15="Pending","Sizing pending: angled roof, roof planes not measured (LiDAR or survey needed)",IF(L15&gt;Inputs!$D$15,"Central size above 1 MWp: likely limited by site demand or grid capacity",IF(M15&gt;Inputs!$E$15,"High scenario above 1 MWp: check site demand and grid capacity","")))</f>
        <v/>
      </c>
      <c r="AA15" s="38" t="s">
        <v>173</v>
      </c>
    </row>
    <row r="16" customFormat="false" ht="23.25" hidden="false" customHeight="true" outlineLevel="0" collapsed="false">
      <c r="A16" s="8" t="n">
        <v>21</v>
      </c>
      <c r="B16" s="8" t="s">
        <v>194</v>
      </c>
      <c r="C16" s="8" t="s">
        <v>168</v>
      </c>
      <c r="D16" s="8" t="s">
        <v>179</v>
      </c>
      <c r="E16" s="8" t="n">
        <v>1</v>
      </c>
      <c r="F16" s="31" t="n">
        <v>2613</v>
      </c>
      <c r="G16" s="31" t="n">
        <f aca="false">F16</f>
        <v>2613</v>
      </c>
      <c r="H16" s="8" t="s">
        <v>170</v>
      </c>
      <c r="I16" s="22" t="s">
        <v>171</v>
      </c>
      <c r="J16" s="8" t="s">
        <v>172</v>
      </c>
      <c r="K16" s="32" t="n">
        <f aca="false">IF(Calculations!I35="","",Calculations!I35)</f>
        <v>176.69106</v>
      </c>
      <c r="L16" s="33" t="n">
        <f aca="false">IF(Calculations!I36="","",Calculations!I36)</f>
        <v>240.396</v>
      </c>
      <c r="M16" s="32" t="n">
        <f aca="false">IF(Calculations!I37="","",Calculations!I37)</f>
        <v>277.65738</v>
      </c>
      <c r="N16" s="34" t="n">
        <f aca="false">IF(Calculations!K35="","",Calculations!K35/1000)</f>
        <v>162.962164638</v>
      </c>
      <c r="O16" s="35" t="n">
        <f aca="false">IF(Calculations!K36="","",Calculations!K36/1000)</f>
        <v>221.7172308</v>
      </c>
      <c r="P16" s="34" t="n">
        <f aca="false">IF(Calculations!K37="","",Calculations!K37/1000)</f>
        <v>256.083401574</v>
      </c>
      <c r="Q16" s="32" t="n">
        <f aca="false">IF(Calculations!T35="","",Calculations!T35)</f>
        <v>16895.8515005935</v>
      </c>
      <c r="R16" s="33" t="n">
        <f aca="false">IF(Calculations!T36="","",Calculations!T36)</f>
        <v>33958.136546568</v>
      </c>
      <c r="S16" s="32" t="n">
        <f aca="false">IF(Calculations!T37="","",Calculations!T37)</f>
        <v>50202.5211855367</v>
      </c>
      <c r="T16" s="36" t="n">
        <f aca="false">IF(Calculations!W35="","",Calculations!W35)</f>
        <v>11.50342532267</v>
      </c>
      <c r="U16" s="37" t="n">
        <f aca="false">IF(Calculations!W36="","",Calculations!W36)</f>
        <v>6.37126833220966</v>
      </c>
      <c r="V16" s="36" t="n">
        <f aca="false">IF(Calculations!W37="","",Calculations!W37)</f>
        <v>3.87152201543206</v>
      </c>
      <c r="W16" s="34" t="n">
        <f aca="false">IF(Calculations!Y35="","",Calculations!Y35)</f>
        <v>21.3415250809925</v>
      </c>
      <c r="X16" s="35" t="n">
        <f aca="false">IF(Calculations!Y36="","",Calculations!Y36)</f>
        <v>29.036088545568</v>
      </c>
      <c r="Y16" s="34" t="n">
        <f aca="false">IF(Calculations!Y37="","",Calculations!Y37)</f>
        <v>33.536682270131</v>
      </c>
      <c r="Z16" s="8" t="str">
        <f aca="false">IF($I16="Pending","Sizing pending: angled roof, roof planes not measured (LiDAR or survey needed)",IF(L16&gt;Inputs!$D$15,"Central size above 1 MWp: likely limited by site demand or grid capacity",IF(M16&gt;Inputs!$E$15,"High scenario above 1 MWp: check site demand and grid capacity","")))</f>
        <v/>
      </c>
      <c r="AA16" s="38" t="s">
        <v>173</v>
      </c>
    </row>
    <row r="17" customFormat="false" ht="23.25" hidden="false" customHeight="true" outlineLevel="0" collapsed="false">
      <c r="A17" s="8" t="n">
        <v>30</v>
      </c>
      <c r="B17" s="8" t="s">
        <v>195</v>
      </c>
      <c r="C17" s="8" t="s">
        <v>168</v>
      </c>
      <c r="D17" s="8" t="s">
        <v>175</v>
      </c>
      <c r="E17" s="8" t="n">
        <v>1</v>
      </c>
      <c r="F17" s="31" t="n">
        <v>3558</v>
      </c>
      <c r="G17" s="31" t="n">
        <f aca="false">F17</f>
        <v>3558</v>
      </c>
      <c r="H17" s="8" t="s">
        <v>170</v>
      </c>
      <c r="I17" s="22" t="s">
        <v>171</v>
      </c>
      <c r="J17" s="8" t="s">
        <v>196</v>
      </c>
      <c r="K17" s="32" t="n">
        <f aca="false">IF(Calculations!I38="","",Calculations!I38)</f>
        <v>240.59196</v>
      </c>
      <c r="L17" s="33" t="n">
        <f aca="false">IF(Calculations!I39="","",Calculations!I39)</f>
        <v>327.336</v>
      </c>
      <c r="M17" s="32" t="n">
        <f aca="false">IF(Calculations!I40="","",Calculations!I40)</f>
        <v>378.07308</v>
      </c>
      <c r="N17" s="34" t="n">
        <f aca="false">IF(Calculations!K38="","",Calculations!K38/1000)</f>
        <v>221.897964708</v>
      </c>
      <c r="O17" s="35" t="n">
        <f aca="false">IF(Calculations!K39="","",Calculations!K39/1000)</f>
        <v>301.9019928</v>
      </c>
      <c r="P17" s="34" t="n">
        <f aca="false">IF(Calculations!K40="","",Calculations!K40/1000)</f>
        <v>348.696801684</v>
      </c>
      <c r="Q17" s="32" t="n">
        <f aca="false">IF(Calculations!T38="","",Calculations!T38)</f>
        <v>23006.2914807163</v>
      </c>
      <c r="R17" s="33" t="n">
        <f aca="false">IF(Calculations!T39="","",Calculations!T39)</f>
        <v>46239.207743088</v>
      </c>
      <c r="S17" s="32" t="n">
        <f aca="false">IF(Calculations!T40="","",Calculations!T40)</f>
        <v>68358.4272400075</v>
      </c>
      <c r="T17" s="36" t="n">
        <f aca="false">IF(Calculations!W38="","",Calculations!W38)</f>
        <v>11.50342532267</v>
      </c>
      <c r="U17" s="37" t="n">
        <f aca="false">IF(Calculations!W39="","",Calculations!W39)</f>
        <v>6.37126833220966</v>
      </c>
      <c r="V17" s="36" t="n">
        <f aca="false">IF(Calculations!W40="","",Calculations!W40)</f>
        <v>3.87152201543206</v>
      </c>
      <c r="W17" s="34" t="n">
        <f aca="false">IF(Calculations!Y38="","",Calculations!Y38)</f>
        <v>29.0597574581597</v>
      </c>
      <c r="X17" s="35" t="n">
        <f aca="false">IF(Calculations!Y39="","",Calculations!Y39)</f>
        <v>39.537084977088</v>
      </c>
      <c r="Y17" s="34" t="n">
        <f aca="false">IF(Calculations!Y40="","",Calculations!Y40)</f>
        <v>45.6653331485366</v>
      </c>
      <c r="Z17" s="8" t="str">
        <f aca="false">IF($I17="Pending","Sizing pending: angled roof, roof planes not measured (LiDAR or survey needed)",IF(L17&gt;Inputs!$D$15,"Central size above 1 MWp: likely limited by site demand or grid capacity",IF(M17&gt;Inputs!$E$15,"High scenario above 1 MWp: check site demand and grid capacity","")))</f>
        <v/>
      </c>
      <c r="AA17" s="38" t="s">
        <v>173</v>
      </c>
    </row>
    <row r="18" customFormat="false" ht="34.5" hidden="false" customHeight="true" outlineLevel="0" collapsed="false">
      <c r="A18" s="8" t="n">
        <v>44</v>
      </c>
      <c r="B18" s="8" t="s">
        <v>197</v>
      </c>
      <c r="C18" s="8" t="s">
        <v>168</v>
      </c>
      <c r="D18" s="8" t="s">
        <v>198</v>
      </c>
      <c r="E18" s="8" t="n">
        <v>1</v>
      </c>
      <c r="F18" s="31" t="n">
        <v>1897</v>
      </c>
      <c r="G18" s="31" t="n">
        <f aca="false">F18</f>
        <v>1897</v>
      </c>
      <c r="H18" s="8" t="s">
        <v>170</v>
      </c>
      <c r="I18" s="22" t="s">
        <v>171</v>
      </c>
      <c r="J18" s="8" t="s">
        <v>172</v>
      </c>
      <c r="K18" s="32" t="n">
        <f aca="false">IF(Calculations!I41="","",Calculations!I41)</f>
        <v>128.27514</v>
      </c>
      <c r="L18" s="33" t="n">
        <f aca="false">IF(Calculations!I42="","",Calculations!I42)</f>
        <v>174.524</v>
      </c>
      <c r="M18" s="32" t="n">
        <f aca="false">IF(Calculations!I43="","",Calculations!I43)</f>
        <v>201.57522</v>
      </c>
      <c r="N18" s="34" t="n">
        <f aca="false">IF(Calculations!K41="","",Calculations!K41/1000)</f>
        <v>118.308161622</v>
      </c>
      <c r="O18" s="35" t="n">
        <f aca="false">IF(Calculations!K42="","",Calculations!K42/1000)</f>
        <v>160.9634852</v>
      </c>
      <c r="P18" s="34" t="n">
        <f aca="false">IF(Calculations!K43="","",Calculations!K43/1000)</f>
        <v>185.912825406</v>
      </c>
      <c r="Q18" s="32" t="n">
        <f aca="false">IF(Calculations!T41="","",Calculations!T41)</f>
        <v>12266.1424786169</v>
      </c>
      <c r="R18" s="33" t="n">
        <f aca="false">IF(Calculations!T42="","",Calculations!T42)</f>
        <v>24653.113290792</v>
      </c>
      <c r="S18" s="32" t="n">
        <f aca="false">IF(Calculations!T43="","",Calculations!T43)</f>
        <v>36446.3003019377</v>
      </c>
      <c r="T18" s="36" t="n">
        <f aca="false">IF(Calculations!W41="","",Calculations!W41)</f>
        <v>11.50342532267</v>
      </c>
      <c r="U18" s="37" t="n">
        <f aca="false">IF(Calculations!W42="","",Calculations!W42)</f>
        <v>6.37126833220965</v>
      </c>
      <c r="V18" s="36" t="n">
        <f aca="false">IF(Calculations!W43="","",Calculations!W43)</f>
        <v>3.87152201543206</v>
      </c>
      <c r="W18" s="34" t="n">
        <f aca="false">IF(Calculations!Y41="","",Calculations!Y41)</f>
        <v>15.4936368460171</v>
      </c>
      <c r="X18" s="35" t="n">
        <f aca="false">IF(Calculations!Y42="","",Calculations!Y42)</f>
        <v>21.079778021792</v>
      </c>
      <c r="Y18" s="34" t="n">
        <f aca="false">IF(Calculations!Y43="","",Calculations!Y43)</f>
        <v>24.3471436151698</v>
      </c>
      <c r="Z18" s="8" t="str">
        <f aca="false">IF($I18="Pending","Sizing pending: angled roof, roof planes not measured (LiDAR or survey needed)",IF(L18&gt;Inputs!$D$15,"Central size above 1 MWp: likely limited by site demand or grid capacity",IF(M18&gt;Inputs!$E$15,"High scenario above 1 MWp: check site demand and grid capacity","")))</f>
        <v/>
      </c>
      <c r="AA18" s="38" t="s">
        <v>173</v>
      </c>
    </row>
    <row r="19" customFormat="false" ht="23.25" hidden="false" customHeight="true" outlineLevel="0" collapsed="false">
      <c r="A19" s="8" t="n">
        <v>39</v>
      </c>
      <c r="B19" s="8" t="s">
        <v>199</v>
      </c>
      <c r="C19" s="8" t="s">
        <v>168</v>
      </c>
      <c r="D19" s="8" t="s">
        <v>193</v>
      </c>
      <c r="E19" s="8" t="n">
        <v>1</v>
      </c>
      <c r="F19" s="31" t="n">
        <v>1652</v>
      </c>
      <c r="G19" s="31" t="n">
        <f aca="false">F19</f>
        <v>1652</v>
      </c>
      <c r="H19" s="8" t="s">
        <v>170</v>
      </c>
      <c r="I19" s="22" t="s">
        <v>171</v>
      </c>
      <c r="J19" s="8" t="s">
        <v>172</v>
      </c>
      <c r="K19" s="32" t="n">
        <f aca="false">IF(Calculations!I44="","",Calculations!I44)</f>
        <v>111.70824</v>
      </c>
      <c r="L19" s="33" t="n">
        <f aca="false">IF(Calculations!I45="","",Calculations!I45)</f>
        <v>151.984</v>
      </c>
      <c r="M19" s="32" t="n">
        <f aca="false">IF(Calculations!I46="","",Calculations!I46)</f>
        <v>175.54152</v>
      </c>
      <c r="N19" s="34" t="n">
        <f aca="false">IF(Calculations!K44="","",Calculations!K44/1000)</f>
        <v>103.028509752</v>
      </c>
      <c r="O19" s="35" t="n">
        <f aca="false">IF(Calculations!K45="","",Calculations!K45/1000)</f>
        <v>140.1748432</v>
      </c>
      <c r="P19" s="34" t="n">
        <f aca="false">IF(Calculations!K46="","",Calculations!K46/1000)</f>
        <v>161.901943896</v>
      </c>
      <c r="Q19" s="32" t="n">
        <f aca="false">IF(Calculations!T44="","",Calculations!T44)</f>
        <v>10681.9543356221</v>
      </c>
      <c r="R19" s="33" t="n">
        <f aca="false">IF(Calculations!T45="","",Calculations!T45)</f>
        <v>21469.131869472</v>
      </c>
      <c r="S19" s="32" t="n">
        <f aca="false">IF(Calculations!T46="","",Calculations!T46)</f>
        <v>31739.2135470749</v>
      </c>
      <c r="T19" s="36" t="n">
        <f aca="false">IF(Calculations!W44="","",Calculations!W44)</f>
        <v>11.50342532267</v>
      </c>
      <c r="U19" s="37" t="n">
        <f aca="false">IF(Calculations!W45="","",Calculations!W45)</f>
        <v>6.37126833220965</v>
      </c>
      <c r="V19" s="36" t="n">
        <f aca="false">IF(Calculations!W46="","",Calculations!W46)</f>
        <v>3.87152201543206</v>
      </c>
      <c r="W19" s="34" t="n">
        <f aca="false">IF(Calculations!Y44="","",Calculations!Y44)</f>
        <v>13.4926136371219</v>
      </c>
      <c r="X19" s="35" t="n">
        <f aca="false">IF(Calculations!Y45="","",Calculations!Y45)</f>
        <v>18.357297465472</v>
      </c>
      <c r="Y19" s="34" t="n">
        <f aca="false">IF(Calculations!Y46="","",Calculations!Y46)</f>
        <v>21.2026785726202</v>
      </c>
      <c r="Z19" s="8" t="str">
        <f aca="false">IF($I19="Pending","Sizing pending: angled roof, roof planes not measured (LiDAR or survey needed)",IF(L19&gt;Inputs!$D$15,"Central size above 1 MWp: likely limited by site demand or grid capacity",IF(M19&gt;Inputs!$E$15,"High scenario above 1 MWp: check site demand and grid capacity","")))</f>
        <v/>
      </c>
      <c r="AA19" s="38" t="s">
        <v>173</v>
      </c>
    </row>
    <row r="20" customFormat="false" ht="23.25" hidden="false" customHeight="true" outlineLevel="0" collapsed="false">
      <c r="A20" s="8" t="n">
        <v>40</v>
      </c>
      <c r="B20" s="8" t="s">
        <v>200</v>
      </c>
      <c r="C20" s="8" t="s">
        <v>168</v>
      </c>
      <c r="D20" s="8" t="s">
        <v>193</v>
      </c>
      <c r="E20" s="8" t="n">
        <v>1</v>
      </c>
      <c r="F20" s="31" t="n">
        <v>2351</v>
      </c>
      <c r="G20" s="31" t="n">
        <f aca="false">F20</f>
        <v>2351</v>
      </c>
      <c r="H20" s="8" t="s">
        <v>170</v>
      </c>
      <c r="I20" s="22" t="s">
        <v>171</v>
      </c>
      <c r="J20" s="8" t="s">
        <v>172</v>
      </c>
      <c r="K20" s="32" t="n">
        <f aca="false">IF(Calculations!I47="","",Calculations!I47)</f>
        <v>158.97462</v>
      </c>
      <c r="L20" s="33" t="n">
        <f aca="false">IF(Calculations!I48="","",Calculations!I48)</f>
        <v>216.292</v>
      </c>
      <c r="M20" s="32" t="n">
        <f aca="false">IF(Calculations!I49="","",Calculations!I49)</f>
        <v>249.81726</v>
      </c>
      <c r="N20" s="34" t="n">
        <f aca="false">IF(Calculations!K47="","",Calculations!K47/1000)</f>
        <v>146.622292026</v>
      </c>
      <c r="O20" s="35" t="n">
        <f aca="false">IF(Calculations!K48="","",Calculations!K48/1000)</f>
        <v>199.4861116</v>
      </c>
      <c r="P20" s="34" t="n">
        <f aca="false">IF(Calculations!K49="","",Calculations!K49/1000)</f>
        <v>230.406458898</v>
      </c>
      <c r="Q20" s="32" t="n">
        <f aca="false">IF(Calculations!T47="","",Calculations!T47)</f>
        <v>15201.740098697</v>
      </c>
      <c r="R20" s="33" t="n">
        <f aca="false">IF(Calculations!T48="","",Calculations!T48)</f>
        <v>30553.225802136</v>
      </c>
      <c r="S20" s="32" t="n">
        <f aca="false">IF(Calculations!T49="","",Calculations!T49)</f>
        <v>45168.8202476834</v>
      </c>
      <c r="T20" s="36" t="n">
        <f aca="false">IF(Calculations!W47="","",Calculations!W47)</f>
        <v>11.50342532267</v>
      </c>
      <c r="U20" s="37" t="n">
        <f aca="false">IF(Calculations!W48="","",Calculations!W48)</f>
        <v>6.37126833220966</v>
      </c>
      <c r="V20" s="36" t="n">
        <f aca="false">IF(Calculations!W49="","",Calculations!W49)</f>
        <v>3.87152201543206</v>
      </c>
      <c r="W20" s="34" t="n">
        <f aca="false">IF(Calculations!Y47="","",Calculations!Y47)</f>
        <v>19.201655363725</v>
      </c>
      <c r="X20" s="35" t="n">
        <f aca="false">IF(Calculations!Y48="","",Calculations!Y48)</f>
        <v>26.124701175136</v>
      </c>
      <c r="Y20" s="34" t="n">
        <f aca="false">IF(Calculations!Y49="","",Calculations!Y49)</f>
        <v>30.1740298572821</v>
      </c>
      <c r="Z20" s="8" t="str">
        <f aca="false">IF($I20="Pending","Sizing pending: angled roof, roof planes not measured (LiDAR or survey needed)",IF(L20&gt;Inputs!$D$15,"Central size above 1 MWp: likely limited by site demand or grid capacity",IF(M20&gt;Inputs!$E$15,"High scenario above 1 MWp: check site demand and grid capacity","")))</f>
        <v/>
      </c>
      <c r="AA20" s="38" t="s">
        <v>173</v>
      </c>
    </row>
    <row r="21" customFormat="false" ht="23.25" hidden="false" customHeight="true" outlineLevel="0" collapsed="false">
      <c r="A21" s="8" t="n">
        <v>22</v>
      </c>
      <c r="B21" s="8" t="s">
        <v>201</v>
      </c>
      <c r="C21" s="8" t="s">
        <v>168</v>
      </c>
      <c r="D21" s="8" t="s">
        <v>188</v>
      </c>
      <c r="E21" s="8" t="n">
        <v>1</v>
      </c>
      <c r="F21" s="31" t="n">
        <v>2542</v>
      </c>
      <c r="G21" s="31" t="n">
        <f aca="false">F21</f>
        <v>2542</v>
      </c>
      <c r="H21" s="8" t="s">
        <v>170</v>
      </c>
      <c r="I21" s="22" t="s">
        <v>171</v>
      </c>
      <c r="J21" s="8" t="s">
        <v>172</v>
      </c>
      <c r="K21" s="32" t="n">
        <f aca="false">IF(Calculations!I50="","",Calculations!I50)</f>
        <v>171.89004</v>
      </c>
      <c r="L21" s="33" t="n">
        <f aca="false">IF(Calculations!I51="","",Calculations!I51)</f>
        <v>233.864</v>
      </c>
      <c r="M21" s="32" t="n">
        <f aca="false">IF(Calculations!I52="","",Calculations!I52)</f>
        <v>270.11292</v>
      </c>
      <c r="N21" s="34" t="n">
        <f aca="false">IF(Calculations!K50="","",Calculations!K50/1000)</f>
        <v>158.534183892</v>
      </c>
      <c r="O21" s="35" t="n">
        <f aca="false">IF(Calculations!K51="","",Calculations!K51/1000)</f>
        <v>215.6927672</v>
      </c>
      <c r="P21" s="34" t="n">
        <f aca="false">IF(Calculations!K52="","",Calculations!K52/1000)</f>
        <v>249.125146116</v>
      </c>
      <c r="Q21" s="32" t="n">
        <f aca="false">IF(Calculations!T50="","",Calculations!T50)</f>
        <v>16436.7602428277</v>
      </c>
      <c r="R21" s="33" t="n">
        <f aca="false">IF(Calculations!T51="","",Calculations!T51)</f>
        <v>33035.431726512</v>
      </c>
      <c r="S21" s="32" t="n">
        <f aca="false">IF(Calculations!T52="","",Calculations!T52)</f>
        <v>48838.4266565765</v>
      </c>
      <c r="T21" s="36" t="n">
        <f aca="false">IF(Calculations!W50="","",Calculations!W50)</f>
        <v>11.50342532267</v>
      </c>
      <c r="U21" s="37" t="n">
        <f aca="false">IF(Calculations!W51="","",Calculations!W51)</f>
        <v>6.37126833220965</v>
      </c>
      <c r="V21" s="36" t="n">
        <f aca="false">IF(Calculations!W52="","",Calculations!W52)</f>
        <v>3.87152201543206</v>
      </c>
      <c r="W21" s="34" t="n">
        <f aca="false">IF(Calculations!Y50="","",Calculations!Y50)</f>
        <v>20.7616367224963</v>
      </c>
      <c r="X21" s="35" t="n">
        <f aca="false">IF(Calculations!Y51="","",Calculations!Y51)</f>
        <v>28.247124792512</v>
      </c>
      <c r="Y21" s="34" t="n">
        <f aca="false">IF(Calculations!Y52="","",Calculations!Y52)</f>
        <v>32.6254291353514</v>
      </c>
      <c r="Z21" s="8" t="str">
        <f aca="false">IF($I21="Pending","Sizing pending: angled roof, roof planes not measured (LiDAR or survey needed)",IF(L21&gt;Inputs!$D$15,"Central size above 1 MWp: likely limited by site demand or grid capacity",IF(M21&gt;Inputs!$E$15,"High scenario above 1 MWp: check site demand and grid capacity","")))</f>
        <v/>
      </c>
      <c r="AA21" s="38" t="s">
        <v>173</v>
      </c>
    </row>
    <row r="22" customFormat="false" ht="23.25" hidden="false" customHeight="true" outlineLevel="0" collapsed="false">
      <c r="A22" s="8" t="n">
        <v>99</v>
      </c>
      <c r="B22" s="8" t="s">
        <v>202</v>
      </c>
      <c r="C22" s="8" t="s">
        <v>203</v>
      </c>
      <c r="D22" s="8" t="s">
        <v>179</v>
      </c>
      <c r="E22" s="8" t="n">
        <v>1</v>
      </c>
      <c r="F22" s="31" t="n">
        <v>6954</v>
      </c>
      <c r="G22" s="31" t="n">
        <f aca="false">F22</f>
        <v>6954</v>
      </c>
      <c r="H22" s="8" t="s">
        <v>170</v>
      </c>
      <c r="I22" s="22" t="s">
        <v>171</v>
      </c>
      <c r="J22" s="8" t="s">
        <v>172</v>
      </c>
      <c r="K22" s="32" t="n">
        <f aca="false">IF(Calculations!I53="","",Calculations!I53)</f>
        <v>470.22948</v>
      </c>
      <c r="L22" s="33" t="n">
        <f aca="false">IF(Calculations!I54="","",Calculations!I54)</f>
        <v>639.768</v>
      </c>
      <c r="M22" s="32" t="n">
        <f aca="false">IF(Calculations!I55="","",Calculations!I55)</f>
        <v>738.93204</v>
      </c>
      <c r="N22" s="34" t="n">
        <f aca="false">IF(Calculations!K53="","",Calculations!K53/1000)</f>
        <v>433.692649404</v>
      </c>
      <c r="O22" s="35" t="n">
        <f aca="false">IF(Calculations!K54="","",Calculations!K54/1000)</f>
        <v>590.0580264</v>
      </c>
      <c r="P22" s="34" t="n">
        <f aca="false">IF(Calculations!K55="","",Calculations!K55/1000)</f>
        <v>681.517020492</v>
      </c>
      <c r="Q22" s="32" t="n">
        <f aca="false">IF(Calculations!T53="","",Calculations!T53)</f>
        <v>44965.0789648402</v>
      </c>
      <c r="R22" s="33" t="n">
        <f aca="false">IF(Calculations!T54="","",Calculations!T54)</f>
        <v>90373.088995344</v>
      </c>
      <c r="S22" s="32" t="n">
        <f aca="false">IF(Calculations!T55="","",Calculations!T55)</f>
        <v>133604.413442106</v>
      </c>
      <c r="T22" s="36" t="n">
        <f aca="false">IF(Calculations!W53="","",Calculations!W53)</f>
        <v>11.50342532267</v>
      </c>
      <c r="U22" s="37" t="n">
        <f aca="false">IF(Calculations!W54="","",Calculations!W54)</f>
        <v>6.37126833220966</v>
      </c>
      <c r="V22" s="36" t="n">
        <f aca="false">IF(Calculations!W55="","",Calculations!W55)</f>
        <v>3.87152201543206</v>
      </c>
      <c r="W22" s="34" t="n">
        <f aca="false">IF(Calculations!Y53="","",Calculations!Y53)</f>
        <v>56.7963893659478</v>
      </c>
      <c r="X22" s="35" t="n">
        <f aca="false">IF(Calculations!Y54="","",Calculations!Y54)</f>
        <v>77.273999137344</v>
      </c>
      <c r="Y22" s="34" t="n">
        <f aca="false">IF(Calculations!Y55="","",Calculations!Y55)</f>
        <v>89.2514690036323</v>
      </c>
      <c r="Z22" s="8" t="str">
        <f aca="false">IF($I22="Pending","Sizing pending: angled roof, roof planes not measured (LiDAR or survey needed)",IF(L22&gt;Inputs!$D$15,"Central size above 1 MWp: likely limited by site demand or grid capacity",IF(M22&gt;Inputs!$E$15,"High scenario above 1 MWp: check site demand and grid capacity","")))</f>
        <v/>
      </c>
      <c r="AA22" s="38" t="s">
        <v>173</v>
      </c>
    </row>
    <row r="23" customFormat="false" ht="23.25" hidden="false" customHeight="true" outlineLevel="0" collapsed="false">
      <c r="A23" s="8" t="n">
        <v>103</v>
      </c>
      <c r="B23" s="8" t="s">
        <v>204</v>
      </c>
      <c r="C23" s="8" t="s">
        <v>203</v>
      </c>
      <c r="D23" s="8" t="s">
        <v>193</v>
      </c>
      <c r="E23" s="8" t="n">
        <v>7</v>
      </c>
      <c r="F23" s="31" t="n">
        <v>4584</v>
      </c>
      <c r="G23" s="31" t="n">
        <f aca="false">F23</f>
        <v>4584</v>
      </c>
      <c r="H23" s="8" t="s">
        <v>170</v>
      </c>
      <c r="I23" s="22" t="s">
        <v>171</v>
      </c>
      <c r="J23" s="8" t="s">
        <v>172</v>
      </c>
      <c r="K23" s="32" t="n">
        <f aca="false">IF(Calculations!I56="","",Calculations!I56)</f>
        <v>309.97008</v>
      </c>
      <c r="L23" s="33" t="n">
        <f aca="false">IF(Calculations!I57="","",Calculations!I57)</f>
        <v>421.728</v>
      </c>
      <c r="M23" s="32" t="n">
        <f aca="false">IF(Calculations!I58="","",Calculations!I58)</f>
        <v>487.09584</v>
      </c>
      <c r="N23" s="34" t="n">
        <f aca="false">IF(Calculations!K56="","",Calculations!K56/1000)</f>
        <v>285.885404784</v>
      </c>
      <c r="O23" s="35" t="n">
        <f aca="false">IF(Calculations!K57="","",Calculations!K57/1000)</f>
        <v>388.9597344</v>
      </c>
      <c r="P23" s="34" t="n">
        <f aca="false">IF(Calculations!K58="","",Calculations!K58/1000)</f>
        <v>449.248493232</v>
      </c>
      <c r="Q23" s="32" t="n">
        <f aca="false">IF(Calculations!T56="","",Calculations!T56)</f>
        <v>29640.4834591354</v>
      </c>
      <c r="R23" s="33" t="n">
        <f aca="false">IF(Calculations!T57="","",Calculations!T57)</f>
        <v>59572.942185024</v>
      </c>
      <c r="S23" s="32" t="n">
        <f aca="false">IF(Calculations!T58="","",Calculations!T58)</f>
        <v>88070.553813433</v>
      </c>
      <c r="T23" s="36" t="n">
        <f aca="false">IF(Calculations!W56="","",Calculations!W56)</f>
        <v>11.50342532267</v>
      </c>
      <c r="U23" s="37" t="n">
        <f aca="false">IF(Calculations!W57="","",Calculations!W57)</f>
        <v>6.37126833220965</v>
      </c>
      <c r="V23" s="36" t="n">
        <f aca="false">IF(Calculations!W58="","",Calculations!W58)</f>
        <v>3.87152201543206</v>
      </c>
      <c r="W23" s="34" t="n">
        <f aca="false">IF(Calculations!Y56="","",Calculations!Y56)</f>
        <v>37.4395526105126</v>
      </c>
      <c r="X23" s="35" t="n">
        <f aca="false">IF(Calculations!Y57="","",Calculations!Y57)</f>
        <v>50.938166817024</v>
      </c>
      <c r="Y23" s="34" t="n">
        <f aca="false">IF(Calculations!Y58="","",Calculations!Y58)</f>
        <v>58.8335826736627</v>
      </c>
      <c r="Z23" s="8" t="str">
        <f aca="false">IF($I23="Pending","Sizing pending: angled roof, roof planes not measured (LiDAR or survey needed)",IF(L23&gt;Inputs!$D$15,"Central size above 1 MWp: likely limited by site demand or grid capacity",IF(M23&gt;Inputs!$E$15,"High scenario above 1 MWp: check site demand and grid capacity","")))</f>
        <v/>
      </c>
      <c r="AA23" s="38" t="s">
        <v>173</v>
      </c>
    </row>
    <row r="24" customFormat="false" ht="23.25" hidden="false" customHeight="true" outlineLevel="0" collapsed="false">
      <c r="A24" s="8" t="n">
        <v>61</v>
      </c>
      <c r="B24" s="8" t="s">
        <v>205</v>
      </c>
      <c r="C24" s="8" t="s">
        <v>203</v>
      </c>
      <c r="D24" s="8" t="s">
        <v>184</v>
      </c>
      <c r="E24" s="8" t="n">
        <v>2</v>
      </c>
      <c r="F24" s="31" t="n">
        <v>7218</v>
      </c>
      <c r="G24" s="31" t="n">
        <f aca="false">F24</f>
        <v>7218</v>
      </c>
      <c r="H24" s="8" t="s">
        <v>170</v>
      </c>
      <c r="I24" s="22" t="s">
        <v>171</v>
      </c>
      <c r="J24" s="8" t="s">
        <v>172</v>
      </c>
      <c r="K24" s="32" t="n">
        <f aca="false">IF(Calculations!I59="","",Calculations!I59)</f>
        <v>488.08116</v>
      </c>
      <c r="L24" s="33" t="n">
        <f aca="false">IF(Calculations!I60="","",Calculations!I60)</f>
        <v>664.056</v>
      </c>
      <c r="M24" s="32" t="n">
        <f aca="false">IF(Calculations!I61="","",Calculations!I61)</f>
        <v>766.98468</v>
      </c>
      <c r="N24" s="34" t="n">
        <f aca="false">IF(Calculations!K59="","",Calculations!K59/1000)</f>
        <v>450.157253868</v>
      </c>
      <c r="O24" s="35" t="n">
        <f aca="false">IF(Calculations!K60="","",Calculations!K60/1000)</f>
        <v>612.4588488</v>
      </c>
      <c r="P24" s="34" t="n">
        <f aca="false">IF(Calculations!K61="","",Calculations!K61/1000)</f>
        <v>707.389970364</v>
      </c>
      <c r="Q24" s="32" t="n">
        <f aca="false">IF(Calculations!T59="","",Calculations!T59)</f>
        <v>46672.1225148427</v>
      </c>
      <c r="R24" s="33" t="n">
        <f aca="false">IF(Calculations!T60="","",Calculations!T60)</f>
        <v>93803.991424848</v>
      </c>
      <c r="S24" s="32" t="n">
        <f aca="false">IF(Calculations!T61="","",Calculations!T61)</f>
        <v>138676.539577958</v>
      </c>
      <c r="T24" s="36" t="n">
        <f aca="false">IF(Calculations!W59="","",Calculations!W59)</f>
        <v>11.50342532267</v>
      </c>
      <c r="U24" s="37" t="n">
        <f aca="false">IF(Calculations!W60="","",Calculations!W60)</f>
        <v>6.37126833220965</v>
      </c>
      <c r="V24" s="36" t="n">
        <f aca="false">IF(Calculations!W61="","",Calculations!W61)</f>
        <v>3.87152201543206</v>
      </c>
      <c r="W24" s="34" t="n">
        <f aca="false">IF(Calculations!Y59="","",Calculations!Y59)</f>
        <v>58.9525939665533</v>
      </c>
      <c r="X24" s="35" t="n">
        <f aca="false">IF(Calculations!Y60="","",Calculations!Y60)</f>
        <v>80.207610838848</v>
      </c>
      <c r="Y24" s="34" t="n">
        <f aca="false">IF(Calculations!Y61="","",Calculations!Y61)</f>
        <v>92.6397905188694</v>
      </c>
      <c r="Z24" s="8" t="str">
        <f aca="false">IF($I24="Pending","Sizing pending: angled roof, roof planes not measured (LiDAR or survey needed)",IF(L24&gt;Inputs!$D$15,"Central size above 1 MWp: likely limited by site demand or grid capacity",IF(M24&gt;Inputs!$E$15,"High scenario above 1 MWp: check site demand and grid capacity","")))</f>
        <v/>
      </c>
      <c r="AA24" s="38" t="s">
        <v>173</v>
      </c>
    </row>
    <row r="25" customFormat="false" ht="23.25" hidden="false" customHeight="true" outlineLevel="0" collapsed="false">
      <c r="A25" s="8" t="n">
        <v>52</v>
      </c>
      <c r="B25" s="8" t="s">
        <v>206</v>
      </c>
      <c r="C25" s="8" t="s">
        <v>203</v>
      </c>
      <c r="D25" s="8" t="s">
        <v>207</v>
      </c>
      <c r="E25" s="8" t="n">
        <v>1</v>
      </c>
      <c r="F25" s="31" t="n">
        <v>4354</v>
      </c>
      <c r="G25" s="31" t="n">
        <f aca="false">F25</f>
        <v>4354</v>
      </c>
      <c r="H25" s="8" t="s">
        <v>170</v>
      </c>
      <c r="I25" s="22" t="s">
        <v>171</v>
      </c>
      <c r="J25" s="8" t="s">
        <v>172</v>
      </c>
      <c r="K25" s="32" t="n">
        <f aca="false">IF(Calculations!I62="","",Calculations!I62)</f>
        <v>294.41748</v>
      </c>
      <c r="L25" s="33" t="n">
        <f aca="false">IF(Calculations!I63="","",Calculations!I63)</f>
        <v>400.568</v>
      </c>
      <c r="M25" s="32" t="n">
        <f aca="false">IF(Calculations!I64="","",Calculations!I64)</f>
        <v>462.65604</v>
      </c>
      <c r="N25" s="34" t="n">
        <f aca="false">IF(Calculations!K62="","",Calculations!K62/1000)</f>
        <v>271.541241804</v>
      </c>
      <c r="O25" s="35" t="n">
        <f aca="false">IF(Calculations!K63="","",Calculations!K63/1000)</f>
        <v>369.4438664</v>
      </c>
      <c r="P25" s="34" t="n">
        <f aca="false">IF(Calculations!K64="","",Calculations!K64/1000)</f>
        <v>426.707665692</v>
      </c>
      <c r="Q25" s="32" t="n">
        <f aca="false">IF(Calculations!T62="","",Calculations!T62)</f>
        <v>28153.2864269362</v>
      </c>
      <c r="R25" s="33" t="n">
        <f aca="false">IF(Calculations!T63="","",Calculations!T63)</f>
        <v>56583.898401744</v>
      </c>
      <c r="S25" s="32" t="n">
        <f aca="false">IF(Calculations!T64="","",Calculations!T64)</f>
        <v>83651.6560435617</v>
      </c>
      <c r="T25" s="36" t="n">
        <f aca="false">IF(Calculations!W62="","",Calculations!W62)</f>
        <v>11.50342532267</v>
      </c>
      <c r="U25" s="37" t="n">
        <f aca="false">IF(Calculations!W63="","",Calculations!W63)</f>
        <v>6.37126833220965</v>
      </c>
      <c r="V25" s="36" t="n">
        <f aca="false">IF(Calculations!W64="","",Calculations!W64)</f>
        <v>3.87152201543206</v>
      </c>
      <c r="W25" s="34" t="n">
        <f aca="false">IF(Calculations!Y62="","",Calculations!Y62)</f>
        <v>35.5610410266518</v>
      </c>
      <c r="X25" s="35" t="n">
        <f aca="false">IF(Calculations!Y63="","",Calculations!Y63)</f>
        <v>48.382368743744</v>
      </c>
      <c r="Y25" s="34" t="n">
        <f aca="false">IF(Calculations!Y64="","",Calculations!Y64)</f>
        <v>55.8816358990243</v>
      </c>
      <c r="Z25" s="8" t="str">
        <f aca="false">IF($I25="Pending","Sizing pending: angled roof, roof planes not measured (LiDAR or survey needed)",IF(L25&gt;Inputs!$D$15,"Central size above 1 MWp: likely limited by site demand or grid capacity",IF(M25&gt;Inputs!$E$15,"High scenario above 1 MWp: check site demand and grid capacity","")))</f>
        <v/>
      </c>
      <c r="AA25" s="38" t="s">
        <v>173</v>
      </c>
    </row>
    <row r="26" customFormat="false" ht="15" hidden="false" customHeight="true" outlineLevel="0" collapsed="false">
      <c r="B26" s="25" t="s">
        <v>208</v>
      </c>
      <c r="G26" s="40" t="n">
        <f aca="false">SUMIF(I6:I25,"Sized",G6:G25)</f>
        <v>93486</v>
      </c>
      <c r="K26" s="40" t="n">
        <f aca="false">SUM(K6:K25)</f>
        <v>6321.52332</v>
      </c>
      <c r="L26" s="40" t="n">
        <f aca="false">SUM(L6:L25)</f>
        <v>8600.712</v>
      </c>
      <c r="M26" s="40" t="n">
        <f aca="false">SUM(M6:M25)</f>
        <v>9933.82236</v>
      </c>
      <c r="N26" s="41" t="n">
        <f aca="false">SUM(N6:N25)</f>
        <v>5830.340958036</v>
      </c>
      <c r="O26" s="41" t="n">
        <f aca="false">SUM(O6:O25)</f>
        <v>7932.4366776</v>
      </c>
      <c r="P26" s="41" t="n">
        <f aca="false">SUM(P6:P25)</f>
        <v>9161.964362628</v>
      </c>
      <c r="Q26" s="40" t="n">
        <f aca="false">SUM(Q6:Q25)</f>
        <v>604487.398922497</v>
      </c>
      <c r="R26" s="40" t="n">
        <f aca="false">SUM(R6:R25)</f>
        <v>1214929.3353205</v>
      </c>
      <c r="S26" s="40" t="n">
        <f aca="false">SUM(S6:S25)</f>
        <v>1796109.03006165</v>
      </c>
      <c r="W26" s="41" t="n">
        <f aca="false">SUM(W6:W25)</f>
        <v>763.541451864395</v>
      </c>
      <c r="X26" s="41" t="n">
        <f aca="false">SUM(X6:X25)</f>
        <v>1038.8319072985</v>
      </c>
      <c r="Y26" s="41" t="n">
        <f aca="false">SUM(Y6:Y25)</f>
        <v>1199.85085292976</v>
      </c>
    </row>
    <row r="28" customFormat="false" ht="30" hidden="false" customHeight="true" outlineLevel="0" collapsed="false">
      <c r="A28" s="42" t="s">
        <v>209</v>
      </c>
      <c r="B28" s="42"/>
      <c r="C28" s="42"/>
      <c r="D28" s="42"/>
      <c r="E28" s="42"/>
      <c r="F28" s="42"/>
      <c r="G28" s="42"/>
      <c r="H28" s="42"/>
      <c r="I28" s="42"/>
      <c r="J28" s="42"/>
      <c r="K28" s="42"/>
      <c r="L28" s="42"/>
      <c r="M28" s="42"/>
      <c r="N28" s="42"/>
      <c r="O28" s="42"/>
      <c r="P28" s="42"/>
      <c r="Q28" s="42"/>
      <c r="R28" s="42"/>
      <c r="S28" s="42"/>
      <c r="T28" s="42"/>
    </row>
  </sheetData>
  <mergeCells count="19">
    <mergeCell ref="A2:AA2"/>
    <mergeCell ref="A4:A5"/>
    <mergeCell ref="B4:B5"/>
    <mergeCell ref="C4:C5"/>
    <mergeCell ref="D4:D5"/>
    <mergeCell ref="E4:E5"/>
    <mergeCell ref="F4:F5"/>
    <mergeCell ref="G4:G5"/>
    <mergeCell ref="H4:H5"/>
    <mergeCell ref="I4:I5"/>
    <mergeCell ref="J4:J5"/>
    <mergeCell ref="K4:M4"/>
    <mergeCell ref="N4:P4"/>
    <mergeCell ref="Q4:S4"/>
    <mergeCell ref="T4:V4"/>
    <mergeCell ref="W4:Y4"/>
    <mergeCell ref="Z4:Z5"/>
    <mergeCell ref="AA4:AA5"/>
    <mergeCell ref="A28:T28"/>
  </mergeCells>
  <hyperlinks>
    <hyperlink ref="AA6" r:id="rId1" display="Satellite"/>
    <hyperlink ref="AA7" r:id="rId2" display="Satellite"/>
    <hyperlink ref="AA8" r:id="rId3" display="Satellite"/>
    <hyperlink ref="AA9" r:id="rId4" display="Satellite"/>
    <hyperlink ref="AA10" r:id="rId5" display="Satellite"/>
    <hyperlink ref="AA11" r:id="rId6" display="Satellite"/>
    <hyperlink ref="AA12" r:id="rId7" display="Satellite"/>
    <hyperlink ref="AA13" r:id="rId8" display="Satellite"/>
    <hyperlink ref="AA14" r:id="rId9" display="Satellite"/>
    <hyperlink ref="AA15" r:id="rId10" display="Satellite"/>
    <hyperlink ref="AA16" r:id="rId11" display="Satellite"/>
    <hyperlink ref="AA17" r:id="rId12" display="Satellite"/>
    <hyperlink ref="AA18" r:id="rId13" display="Satellite"/>
    <hyperlink ref="AA19" r:id="rId14" display="Satellite"/>
    <hyperlink ref="AA20" r:id="rId15" display="Satellite"/>
    <hyperlink ref="AA21" r:id="rId16" display="Satellite"/>
    <hyperlink ref="AA22" r:id="rId17" display="Satellite"/>
    <hyperlink ref="AA23" r:id="rId18" display="Satellite"/>
    <hyperlink ref="AA24" r:id="rId19" display="Satellite"/>
    <hyperlink ref="AA25" r:id="rId20" display="Satellit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4"/>
    <col collapsed="false" customWidth="true" hidden="false" outlineLevel="0" max="4" min="3" style="1" width="9"/>
    <col collapsed="false" customWidth="true" hidden="false" outlineLevel="0" max="5" min="5" style="1" width="10"/>
    <col collapsed="false" customWidth="true" hidden="false" outlineLevel="0" max="6" min="6" style="1" width="11"/>
    <col collapsed="false" customWidth="true" hidden="false" outlineLevel="0" max="7" min="7" style="1" width="9"/>
    <col collapsed="false" customWidth="true" hidden="false" outlineLevel="0" max="9" min="8" style="1" width="10"/>
    <col collapsed="false" customWidth="true" hidden="false" outlineLevel="0" max="10" min="10" style="1" width="11"/>
    <col collapsed="false" customWidth="true" hidden="false" outlineLevel="0" max="11" min="11" style="1" width="12"/>
    <col collapsed="false" customWidth="true" hidden="false" outlineLevel="0" max="12" min="12" style="1" width="10"/>
    <col collapsed="false" customWidth="true" hidden="false" outlineLevel="0" max="14" min="13" style="1" width="12"/>
    <col collapsed="false" customWidth="true" hidden="false" outlineLevel="0" max="16" min="15" style="1" width="10"/>
    <col collapsed="false" customWidth="true" hidden="false" outlineLevel="0" max="17" min="17" style="1" width="12"/>
    <col collapsed="false" customWidth="true" hidden="false" outlineLevel="0" max="18" min="18" style="1" width="10"/>
    <col collapsed="false" customWidth="true" hidden="false" outlineLevel="0" max="19" min="19" style="1" width="11"/>
    <col collapsed="false" customWidth="true" hidden="false" outlineLevel="0" max="20" min="20" style="1" width="12"/>
    <col collapsed="false" customWidth="true" hidden="false" outlineLevel="0" max="21" min="21" style="1" width="11"/>
    <col collapsed="false" customWidth="true" hidden="false" outlineLevel="0" max="22" min="22" style="1" width="13"/>
    <col collapsed="false" customWidth="true" hidden="false" outlineLevel="0" max="23" min="23" style="1" width="10"/>
    <col collapsed="false" customWidth="true" hidden="false" outlineLevel="0" max="24" min="24" style="1" width="12"/>
    <col collapsed="false" customWidth="true" hidden="false" outlineLevel="0" max="25" min="25" style="1" width="11"/>
  </cols>
  <sheetData>
    <row r="1" customFormat="false" ht="17.25" hidden="false" customHeight="true" outlineLevel="0" collapsed="false">
      <c r="A1" s="5" t="s">
        <v>210</v>
      </c>
    </row>
    <row r="2" customFormat="false" ht="15" hidden="false" customHeight="true" outlineLevel="0" collapsed="false">
      <c r="A2" s="43" t="s">
        <v>211</v>
      </c>
    </row>
    <row r="4" customFormat="false" ht="45.75" hidden="false" customHeight="true" outlineLevel="0" collapsed="false">
      <c r="A4" s="7" t="s">
        <v>212</v>
      </c>
      <c r="B4" s="7" t="s">
        <v>151</v>
      </c>
      <c r="C4" s="7" t="s">
        <v>213</v>
      </c>
      <c r="D4" s="7" t="s">
        <v>214</v>
      </c>
      <c r="E4" s="7" t="s">
        <v>158</v>
      </c>
      <c r="F4" s="7" t="s">
        <v>156</v>
      </c>
      <c r="G4" s="7" t="s">
        <v>215</v>
      </c>
      <c r="H4" s="7" t="s">
        <v>216</v>
      </c>
      <c r="I4" s="7" t="s">
        <v>160</v>
      </c>
      <c r="J4" s="7" t="s">
        <v>217</v>
      </c>
      <c r="K4" s="7" t="s">
        <v>218</v>
      </c>
      <c r="L4" s="7" t="s">
        <v>219</v>
      </c>
      <c r="M4" s="7" t="s">
        <v>220</v>
      </c>
      <c r="N4" s="7" t="s">
        <v>221</v>
      </c>
      <c r="O4" s="7" t="s">
        <v>222</v>
      </c>
      <c r="P4" s="7" t="s">
        <v>223</v>
      </c>
      <c r="Q4" s="7" t="s">
        <v>224</v>
      </c>
      <c r="R4" s="7" t="s">
        <v>225</v>
      </c>
      <c r="S4" s="7" t="s">
        <v>226</v>
      </c>
      <c r="T4" s="7" t="s">
        <v>162</v>
      </c>
      <c r="U4" s="7" t="s">
        <v>227</v>
      </c>
      <c r="V4" s="7" t="s">
        <v>228</v>
      </c>
      <c r="W4" s="7" t="s">
        <v>163</v>
      </c>
      <c r="X4" s="7" t="s">
        <v>229</v>
      </c>
      <c r="Y4" s="7" t="s">
        <v>164</v>
      </c>
    </row>
    <row r="5" customFormat="false" ht="15" hidden="false" customHeight="true" outlineLevel="0" collapsed="false">
      <c r="A5" s="44" t="n">
        <v>1</v>
      </c>
      <c r="B5" s="44" t="s">
        <v>167</v>
      </c>
      <c r="C5" s="44" t="s">
        <v>60</v>
      </c>
      <c r="D5" s="44" t="n">
        <v>1</v>
      </c>
      <c r="E5" s="45" t="str">
        <f aca="false">Results!$I$6</f>
        <v>Sized</v>
      </c>
      <c r="F5" s="32" t="n">
        <f aca="false">Results!$G$6</f>
        <v>9774</v>
      </c>
      <c r="G5" s="46" t="n">
        <f aca="false">INDEX(Inputs!$C$5:$E$5,1,$D5)</f>
        <v>0.294</v>
      </c>
      <c r="H5" s="47" t="n">
        <f aca="false">INDEX(Inputs!$C$6:$E$6,1,$D5)</f>
        <v>230</v>
      </c>
      <c r="I5" s="48" t="n">
        <f aca="false">IF($E5="Pending","",F5*G5*H5/1000)</f>
        <v>660.91788</v>
      </c>
      <c r="J5" s="49" t="n">
        <f aca="false">INDEX(Inputs!$C$7:$E$7,1,$D5)</f>
        <v>922.3</v>
      </c>
      <c r="K5" s="48" t="n">
        <f aca="false">IF($E5="Pending","",I5*J5)</f>
        <v>609564.560724</v>
      </c>
      <c r="L5" s="50" t="n">
        <f aca="false">INDEX(Inputs!$C$8:$E$8,1,$D5)</f>
        <v>0.4</v>
      </c>
      <c r="M5" s="48" t="n">
        <f aca="false">IF($E5="Pending","",K5*L5)</f>
        <v>243825.8242896</v>
      </c>
      <c r="N5" s="48" t="n">
        <f aca="false">IF($E5="Pending","",K5*(1-L5))</f>
        <v>365738.7364344</v>
      </c>
      <c r="O5" s="51" t="n">
        <f aca="false">INDEX(Inputs!$C$9:$E$9,1,$D5)</f>
        <v>24.51</v>
      </c>
      <c r="P5" s="49" t="n">
        <f aca="false">INDEX(Inputs!$C$10:$E$10,1,$D5)</f>
        <v>3</v>
      </c>
      <c r="Q5" s="48" t="n">
        <f aca="false">IF($E5="Pending","",(M5*O5+N5*P5)/100)</f>
        <v>70733.871626413</v>
      </c>
      <c r="R5" s="49" t="n">
        <f aca="false">INDEX(Inputs!$C$12:$E$12,1,$D5)</f>
        <v>11.4</v>
      </c>
      <c r="S5" s="48" t="n">
        <f aca="false">IF($E5="Pending","",I5*R5)</f>
        <v>7534.463832</v>
      </c>
      <c r="T5" s="48" t="n">
        <f aca="false">IF($E5="Pending","",Q5-S5)</f>
        <v>63199.407794413</v>
      </c>
      <c r="U5" s="48" t="n">
        <f aca="false">INDEX(Inputs!$C$11:$E$11,1,$D5)</f>
        <v>1100</v>
      </c>
      <c r="V5" s="48" t="n">
        <f aca="false">IF($E5="Pending","",I5*U5)</f>
        <v>727009.668</v>
      </c>
      <c r="W5" s="49" t="n">
        <f aca="false">IF($E5="Pending","",IF(T5&lt;=0,"No payback",V5/T5))</f>
        <v>11.50342532267</v>
      </c>
      <c r="X5" s="52" t="n">
        <f aca="false">INDEX(Inputs!$C$13:$E$13,1,$D5)</f>
        <v>0.13096</v>
      </c>
      <c r="Y5" s="53" t="n">
        <f aca="false">IF($E5="Pending","",K5*X5/1000)</f>
        <v>79.828574872415</v>
      </c>
    </row>
    <row r="6" customFormat="false" ht="15" hidden="false" customHeight="true" outlineLevel="0" collapsed="false">
      <c r="A6" s="54" t="n">
        <v>1</v>
      </c>
      <c r="B6" s="54" t="s">
        <v>167</v>
      </c>
      <c r="C6" s="54" t="s">
        <v>61</v>
      </c>
      <c r="D6" s="54" t="n">
        <v>2</v>
      </c>
      <c r="E6" s="55" t="str">
        <f aca="false">Results!$I$6</f>
        <v>Sized</v>
      </c>
      <c r="F6" s="33" t="n">
        <f aca="false">Results!$G$6</f>
        <v>9774</v>
      </c>
      <c r="G6" s="56" t="n">
        <f aca="false">INDEX(Inputs!$C$5:$E$5,1,$D6)</f>
        <v>0.4</v>
      </c>
      <c r="H6" s="57" t="n">
        <f aca="false">INDEX(Inputs!$C$6:$E$6,1,$D6)</f>
        <v>230</v>
      </c>
      <c r="I6" s="58" t="n">
        <f aca="false">IF($E6="Pending","",F6*G6*H6/1000)</f>
        <v>899.208</v>
      </c>
      <c r="J6" s="59" t="n">
        <f aca="false">INDEX(Inputs!$C$7:$E$7,1,$D6)</f>
        <v>922.3</v>
      </c>
      <c r="K6" s="58" t="n">
        <f aca="false">IF($E6="Pending","",I6*J6)</f>
        <v>829339.5384</v>
      </c>
      <c r="L6" s="60" t="n">
        <f aca="false">INDEX(Inputs!$C$8:$E$8,1,$D6)</f>
        <v>0.6</v>
      </c>
      <c r="M6" s="58" t="n">
        <f aca="false">IF($E6="Pending","",K6*L6)</f>
        <v>497603.72304</v>
      </c>
      <c r="N6" s="58" t="n">
        <f aca="false">IF($E6="Pending","",K6*(1-L6))</f>
        <v>331735.81536</v>
      </c>
      <c r="O6" s="61" t="n">
        <f aca="false">INDEX(Inputs!$C$9:$E$9,1,$D6)</f>
        <v>24.51</v>
      </c>
      <c r="P6" s="59" t="n">
        <f aca="false">INDEX(Inputs!$C$10:$E$10,1,$D6)</f>
        <v>4.1</v>
      </c>
      <c r="Q6" s="58" t="n">
        <f aca="false">IF($E6="Pending","",(M6*O6+N6*P6)/100)</f>
        <v>135563.840946864</v>
      </c>
      <c r="R6" s="59" t="n">
        <f aca="false">INDEX(Inputs!$C$12:$E$12,1,$D6)</f>
        <v>9.5</v>
      </c>
      <c r="S6" s="58" t="n">
        <f aca="false">IF($E6="Pending","",I6*R6)</f>
        <v>8542.476</v>
      </c>
      <c r="T6" s="58" t="n">
        <f aca="false">IF($E6="Pending","",Q6-S6)</f>
        <v>127021.364946864</v>
      </c>
      <c r="U6" s="58" t="n">
        <f aca="false">INDEX(Inputs!$C$11:$E$11,1,$D6)</f>
        <v>900</v>
      </c>
      <c r="V6" s="58" t="n">
        <f aca="false">IF($E6="Pending","",I6*U6)</f>
        <v>809287.2</v>
      </c>
      <c r="W6" s="59" t="n">
        <f aca="false">IF($E6="Pending","",IF(T6&lt;=0,"No payback",V6/T6))</f>
        <v>6.37126833220965</v>
      </c>
      <c r="X6" s="62" t="n">
        <f aca="false">INDEX(Inputs!$C$13:$E$13,1,$D6)</f>
        <v>0.13096</v>
      </c>
      <c r="Y6" s="63" t="n">
        <f aca="false">IF($E6="Pending","",K6*X6/1000)</f>
        <v>108.610305948864</v>
      </c>
    </row>
    <row r="7" customFormat="false" ht="15" hidden="false" customHeight="true" outlineLevel="0" collapsed="false">
      <c r="A7" s="44" t="n">
        <v>1</v>
      </c>
      <c r="B7" s="44" t="s">
        <v>167</v>
      </c>
      <c r="C7" s="44" t="s">
        <v>62</v>
      </c>
      <c r="D7" s="44" t="n">
        <v>3</v>
      </c>
      <c r="E7" s="45" t="str">
        <f aca="false">Results!$I$6</f>
        <v>Sized</v>
      </c>
      <c r="F7" s="32" t="n">
        <f aca="false">Results!$G$6</f>
        <v>9774</v>
      </c>
      <c r="G7" s="46" t="n">
        <f aca="false">INDEX(Inputs!$C$5:$E$5,1,$D7)</f>
        <v>0.462</v>
      </c>
      <c r="H7" s="47" t="n">
        <f aca="false">INDEX(Inputs!$C$6:$E$6,1,$D7)</f>
        <v>230</v>
      </c>
      <c r="I7" s="48" t="n">
        <f aca="false">IF($E7="Pending","",F7*G7*H7/1000)</f>
        <v>1038.58524</v>
      </c>
      <c r="J7" s="49" t="n">
        <f aca="false">INDEX(Inputs!$C$7:$E$7,1,$D7)</f>
        <v>922.3</v>
      </c>
      <c r="K7" s="48" t="n">
        <f aca="false">IF($E7="Pending","",I7*J7)</f>
        <v>957887.166852</v>
      </c>
      <c r="L7" s="50" t="n">
        <f aca="false">INDEX(Inputs!$C$8:$E$8,1,$D7)</f>
        <v>0.8</v>
      </c>
      <c r="M7" s="48" t="n">
        <f aca="false">IF($E7="Pending","",K7*L7)</f>
        <v>766309.7334816</v>
      </c>
      <c r="N7" s="48" t="n">
        <f aca="false">IF($E7="Pending","",K7*(1-L7))</f>
        <v>191577.4333704</v>
      </c>
      <c r="O7" s="51" t="n">
        <f aca="false">INDEX(Inputs!$C$9:$E$9,1,$D7)</f>
        <v>24.51</v>
      </c>
      <c r="P7" s="49" t="n">
        <f aca="false">INDEX(Inputs!$C$10:$E$10,1,$D7)</f>
        <v>4.1</v>
      </c>
      <c r="Q7" s="48" t="n">
        <f aca="false">IF($E7="Pending","",(M7*O7+N7*P7)/100)</f>
        <v>195677.190444527</v>
      </c>
      <c r="R7" s="49" t="n">
        <f aca="false">INDEX(Inputs!$C$12:$E$12,1,$D7)</f>
        <v>7.6</v>
      </c>
      <c r="S7" s="48" t="n">
        <f aca="false">IF($E7="Pending","",I7*R7)</f>
        <v>7893.247824</v>
      </c>
      <c r="T7" s="48" t="n">
        <f aca="false">IF($E7="Pending","",Q7-S7)</f>
        <v>187783.942620527</v>
      </c>
      <c r="U7" s="48" t="n">
        <f aca="false">INDEX(Inputs!$C$11:$E$11,1,$D7)</f>
        <v>700</v>
      </c>
      <c r="V7" s="48" t="n">
        <f aca="false">IF($E7="Pending","",I7*U7)</f>
        <v>727009.668</v>
      </c>
      <c r="W7" s="49" t="n">
        <f aca="false">IF($E7="Pending","",IF(T7&lt;=0,"No payback",V7/T7))</f>
        <v>3.87152201543206</v>
      </c>
      <c r="X7" s="52" t="n">
        <f aca="false">INDEX(Inputs!$C$13:$E$13,1,$D7)</f>
        <v>0.13096</v>
      </c>
      <c r="Y7" s="53" t="n">
        <f aca="false">IF($E7="Pending","",K7*X7/1000)</f>
        <v>125.444903370938</v>
      </c>
    </row>
    <row r="8" customFormat="false" ht="15" hidden="false" customHeight="true" outlineLevel="0" collapsed="false">
      <c r="A8" s="44" t="n">
        <v>11</v>
      </c>
      <c r="B8" s="44" t="s">
        <v>174</v>
      </c>
      <c r="C8" s="44" t="s">
        <v>60</v>
      </c>
      <c r="D8" s="44" t="n">
        <v>1</v>
      </c>
      <c r="E8" s="45" t="str">
        <f aca="false">Results!$I$7</f>
        <v>Pending</v>
      </c>
      <c r="F8" s="32" t="n">
        <f aca="false">Results!$G$7</f>
        <v>80278</v>
      </c>
      <c r="G8" s="46" t="n">
        <f aca="false">INDEX(Inputs!$C$5:$E$5,1,$D8)</f>
        <v>0.294</v>
      </c>
      <c r="H8" s="47" t="n">
        <f aca="false">INDEX(Inputs!$C$6:$E$6,1,$D8)</f>
        <v>230</v>
      </c>
      <c r="I8" s="48" t="str">
        <f aca="false">IF($E8="Pending","",F8*G8*H8/1000)</f>
        <v/>
      </c>
      <c r="J8" s="49" t="n">
        <f aca="false">INDEX(Inputs!$C$7:$E$7,1,$D8)</f>
        <v>922.3</v>
      </c>
      <c r="K8" s="48" t="str">
        <f aca="false">IF($E8="Pending","",I8*J8)</f>
        <v/>
      </c>
      <c r="L8" s="50" t="n">
        <f aca="false">INDEX(Inputs!$C$8:$E$8,1,$D8)</f>
        <v>0.4</v>
      </c>
      <c r="M8" s="48" t="str">
        <f aca="false">IF($E8="Pending","",K8*L8)</f>
        <v/>
      </c>
      <c r="N8" s="48" t="str">
        <f aca="false">IF($E8="Pending","",K8*(1-L8))</f>
        <v/>
      </c>
      <c r="O8" s="51" t="n">
        <f aca="false">INDEX(Inputs!$C$9:$E$9,1,$D8)</f>
        <v>24.51</v>
      </c>
      <c r="P8" s="49" t="n">
        <f aca="false">INDEX(Inputs!$C$10:$E$10,1,$D8)</f>
        <v>3</v>
      </c>
      <c r="Q8" s="48" t="str">
        <f aca="false">IF($E8="Pending","",(M8*O8+N8*P8)/100)</f>
        <v/>
      </c>
      <c r="R8" s="49" t="n">
        <f aca="false">INDEX(Inputs!$C$12:$E$12,1,$D8)</f>
        <v>11.4</v>
      </c>
      <c r="S8" s="48" t="str">
        <f aca="false">IF($E8="Pending","",I8*R8)</f>
        <v/>
      </c>
      <c r="T8" s="48" t="str">
        <f aca="false">IF($E8="Pending","",Q8-S8)</f>
        <v/>
      </c>
      <c r="U8" s="48" t="n">
        <f aca="false">INDEX(Inputs!$C$11:$E$11,1,$D8)</f>
        <v>1100</v>
      </c>
      <c r="V8" s="48" t="str">
        <f aca="false">IF($E8="Pending","",I8*U8)</f>
        <v/>
      </c>
      <c r="W8" s="49" t="str">
        <f aca="false">IF($E8="Pending","",IF(T8&lt;=0,"No payback",V8/T8))</f>
        <v/>
      </c>
      <c r="X8" s="52" t="n">
        <f aca="false">INDEX(Inputs!$C$13:$E$13,1,$D8)</f>
        <v>0.13096</v>
      </c>
      <c r="Y8" s="53" t="str">
        <f aca="false">IF($E8="Pending","",K8*X8/1000)</f>
        <v/>
      </c>
    </row>
    <row r="9" customFormat="false" ht="15" hidden="false" customHeight="true" outlineLevel="0" collapsed="false">
      <c r="A9" s="54" t="n">
        <v>11</v>
      </c>
      <c r="B9" s="54" t="s">
        <v>174</v>
      </c>
      <c r="C9" s="54" t="s">
        <v>61</v>
      </c>
      <c r="D9" s="54" t="n">
        <v>2</v>
      </c>
      <c r="E9" s="55" t="str">
        <f aca="false">Results!$I$7</f>
        <v>Pending</v>
      </c>
      <c r="F9" s="33" t="n">
        <f aca="false">Results!$G$7</f>
        <v>80278</v>
      </c>
      <c r="G9" s="56" t="n">
        <f aca="false">INDEX(Inputs!$C$5:$E$5,1,$D9)</f>
        <v>0.4</v>
      </c>
      <c r="H9" s="57" t="n">
        <f aca="false">INDEX(Inputs!$C$6:$E$6,1,$D9)</f>
        <v>230</v>
      </c>
      <c r="I9" s="58" t="str">
        <f aca="false">IF($E9="Pending","",F9*G9*H9/1000)</f>
        <v/>
      </c>
      <c r="J9" s="59" t="n">
        <f aca="false">INDEX(Inputs!$C$7:$E$7,1,$D9)</f>
        <v>922.3</v>
      </c>
      <c r="K9" s="58" t="str">
        <f aca="false">IF($E9="Pending","",I9*J9)</f>
        <v/>
      </c>
      <c r="L9" s="60" t="n">
        <f aca="false">INDEX(Inputs!$C$8:$E$8,1,$D9)</f>
        <v>0.6</v>
      </c>
      <c r="M9" s="58" t="str">
        <f aca="false">IF($E9="Pending","",K9*L9)</f>
        <v/>
      </c>
      <c r="N9" s="58" t="str">
        <f aca="false">IF($E9="Pending","",K9*(1-L9))</f>
        <v/>
      </c>
      <c r="O9" s="61" t="n">
        <f aca="false">INDEX(Inputs!$C$9:$E$9,1,$D9)</f>
        <v>24.51</v>
      </c>
      <c r="P9" s="59" t="n">
        <f aca="false">INDEX(Inputs!$C$10:$E$10,1,$D9)</f>
        <v>4.1</v>
      </c>
      <c r="Q9" s="58" t="str">
        <f aca="false">IF($E9="Pending","",(M9*O9+N9*P9)/100)</f>
        <v/>
      </c>
      <c r="R9" s="59" t="n">
        <f aca="false">INDEX(Inputs!$C$12:$E$12,1,$D9)</f>
        <v>9.5</v>
      </c>
      <c r="S9" s="58" t="str">
        <f aca="false">IF($E9="Pending","",I9*R9)</f>
        <v/>
      </c>
      <c r="T9" s="58" t="str">
        <f aca="false">IF($E9="Pending","",Q9-S9)</f>
        <v/>
      </c>
      <c r="U9" s="58" t="n">
        <f aca="false">INDEX(Inputs!$C$11:$E$11,1,$D9)</f>
        <v>900</v>
      </c>
      <c r="V9" s="58" t="str">
        <f aca="false">IF($E9="Pending","",I9*U9)</f>
        <v/>
      </c>
      <c r="W9" s="59" t="str">
        <f aca="false">IF($E9="Pending","",IF(T9&lt;=0,"No payback",V9/T9))</f>
        <v/>
      </c>
      <c r="X9" s="62" t="n">
        <f aca="false">INDEX(Inputs!$C$13:$E$13,1,$D9)</f>
        <v>0.13096</v>
      </c>
      <c r="Y9" s="63" t="str">
        <f aca="false">IF($E9="Pending","",K9*X9/1000)</f>
        <v/>
      </c>
    </row>
    <row r="10" customFormat="false" ht="15" hidden="false" customHeight="true" outlineLevel="0" collapsed="false">
      <c r="A10" s="44" t="n">
        <v>11</v>
      </c>
      <c r="B10" s="44" t="s">
        <v>174</v>
      </c>
      <c r="C10" s="44" t="s">
        <v>62</v>
      </c>
      <c r="D10" s="44" t="n">
        <v>3</v>
      </c>
      <c r="E10" s="45" t="str">
        <f aca="false">Results!$I$7</f>
        <v>Pending</v>
      </c>
      <c r="F10" s="32" t="n">
        <f aca="false">Results!$G$7</f>
        <v>80278</v>
      </c>
      <c r="G10" s="46" t="n">
        <f aca="false">INDEX(Inputs!$C$5:$E$5,1,$D10)</f>
        <v>0.462</v>
      </c>
      <c r="H10" s="47" t="n">
        <f aca="false">INDEX(Inputs!$C$6:$E$6,1,$D10)</f>
        <v>230</v>
      </c>
      <c r="I10" s="48" t="str">
        <f aca="false">IF($E10="Pending","",F10*G10*H10/1000)</f>
        <v/>
      </c>
      <c r="J10" s="49" t="n">
        <f aca="false">INDEX(Inputs!$C$7:$E$7,1,$D10)</f>
        <v>922.3</v>
      </c>
      <c r="K10" s="48" t="str">
        <f aca="false">IF($E10="Pending","",I10*J10)</f>
        <v/>
      </c>
      <c r="L10" s="50" t="n">
        <f aca="false">INDEX(Inputs!$C$8:$E$8,1,$D10)</f>
        <v>0.8</v>
      </c>
      <c r="M10" s="48" t="str">
        <f aca="false">IF($E10="Pending","",K10*L10)</f>
        <v/>
      </c>
      <c r="N10" s="48" t="str">
        <f aca="false">IF($E10="Pending","",K10*(1-L10))</f>
        <v/>
      </c>
      <c r="O10" s="51" t="n">
        <f aca="false">INDEX(Inputs!$C$9:$E$9,1,$D10)</f>
        <v>24.51</v>
      </c>
      <c r="P10" s="49" t="n">
        <f aca="false">INDEX(Inputs!$C$10:$E$10,1,$D10)</f>
        <v>4.1</v>
      </c>
      <c r="Q10" s="48" t="str">
        <f aca="false">IF($E10="Pending","",(M10*O10+N10*P10)/100)</f>
        <v/>
      </c>
      <c r="R10" s="49" t="n">
        <f aca="false">INDEX(Inputs!$C$12:$E$12,1,$D10)</f>
        <v>7.6</v>
      </c>
      <c r="S10" s="48" t="str">
        <f aca="false">IF($E10="Pending","",I10*R10)</f>
        <v/>
      </c>
      <c r="T10" s="48" t="str">
        <f aca="false">IF($E10="Pending","",Q10-S10)</f>
        <v/>
      </c>
      <c r="U10" s="48" t="n">
        <f aca="false">INDEX(Inputs!$C$11:$E$11,1,$D10)</f>
        <v>700</v>
      </c>
      <c r="V10" s="48" t="str">
        <f aca="false">IF($E10="Pending","",I10*U10)</f>
        <v/>
      </c>
      <c r="W10" s="49" t="str">
        <f aca="false">IF($E10="Pending","",IF(T10&lt;=0,"No payback",V10/T10))</f>
        <v/>
      </c>
      <c r="X10" s="52" t="n">
        <f aca="false">INDEX(Inputs!$C$13:$E$13,1,$D10)</f>
        <v>0.13096</v>
      </c>
      <c r="Y10" s="53" t="str">
        <f aca="false">IF($E10="Pending","",K10*X10/1000)</f>
        <v/>
      </c>
    </row>
    <row r="11" customFormat="false" ht="15" hidden="false" customHeight="true" outlineLevel="0" collapsed="false">
      <c r="A11" s="44" t="n">
        <v>12</v>
      </c>
      <c r="B11" s="44" t="s">
        <v>178</v>
      </c>
      <c r="C11" s="44" t="s">
        <v>60</v>
      </c>
      <c r="D11" s="44" t="n">
        <v>1</v>
      </c>
      <c r="E11" s="45" t="str">
        <f aca="false">Results!$I$8</f>
        <v>Sized</v>
      </c>
      <c r="F11" s="32" t="n">
        <f aca="false">Results!$G$8</f>
        <v>5488</v>
      </c>
      <c r="G11" s="46" t="n">
        <f aca="false">INDEX(Inputs!$C$5:$E$5,1,$D11)</f>
        <v>0.294</v>
      </c>
      <c r="H11" s="47" t="n">
        <f aca="false">INDEX(Inputs!$C$6:$E$6,1,$D11)</f>
        <v>230</v>
      </c>
      <c r="I11" s="48" t="n">
        <f aca="false">IF($E11="Pending","",F11*G11*H11/1000)</f>
        <v>371.09856</v>
      </c>
      <c r="J11" s="49" t="n">
        <f aca="false">INDEX(Inputs!$C$7:$E$7,1,$D11)</f>
        <v>922.3</v>
      </c>
      <c r="K11" s="48" t="n">
        <f aca="false">IF($E11="Pending","",I11*J11)</f>
        <v>342264.201888</v>
      </c>
      <c r="L11" s="50" t="n">
        <f aca="false">INDEX(Inputs!$C$8:$E$8,1,$D11)</f>
        <v>0.4</v>
      </c>
      <c r="M11" s="48" t="n">
        <f aca="false">IF($E11="Pending","",K11*L11)</f>
        <v>136905.6807552</v>
      </c>
      <c r="N11" s="48" t="n">
        <f aca="false">IF($E11="Pending","",K11*(1-L11))</f>
        <v>205358.5211328</v>
      </c>
      <c r="O11" s="51" t="n">
        <f aca="false">INDEX(Inputs!$C$9:$E$9,1,$D11)</f>
        <v>24.51</v>
      </c>
      <c r="P11" s="49" t="n">
        <f aca="false">INDEX(Inputs!$C$10:$E$10,1,$D11)</f>
        <v>3</v>
      </c>
      <c r="Q11" s="48" t="n">
        <f aca="false">IF($E11="Pending","",(M11*O11+N11*P11)/100)</f>
        <v>39716.3379870835</v>
      </c>
      <c r="R11" s="49" t="n">
        <f aca="false">INDEX(Inputs!$C$12:$E$12,1,$D11)</f>
        <v>11.4</v>
      </c>
      <c r="S11" s="48" t="n">
        <f aca="false">IF($E11="Pending","",I11*R11)</f>
        <v>4230.523584</v>
      </c>
      <c r="T11" s="48" t="n">
        <f aca="false">IF($E11="Pending","",Q11-S11)</f>
        <v>35485.8144030835</v>
      </c>
      <c r="U11" s="48" t="n">
        <f aca="false">INDEX(Inputs!$C$11:$E$11,1,$D11)</f>
        <v>1100</v>
      </c>
      <c r="V11" s="48" t="n">
        <f aca="false">IF($E11="Pending","",I11*U11)</f>
        <v>408208.416</v>
      </c>
      <c r="W11" s="49" t="n">
        <f aca="false">IF($E11="Pending","",IF(T11&lt;=0,"No payback",V11/T11))</f>
        <v>11.50342532267</v>
      </c>
      <c r="X11" s="52" t="n">
        <f aca="false">INDEX(Inputs!$C$13:$E$13,1,$D11)</f>
        <v>0.13096</v>
      </c>
      <c r="Y11" s="53" t="n">
        <f aca="false">IF($E11="Pending","",K11*X11/1000)</f>
        <v>44.8229198792525</v>
      </c>
    </row>
    <row r="12" customFormat="false" ht="15" hidden="false" customHeight="true" outlineLevel="0" collapsed="false">
      <c r="A12" s="54" t="n">
        <v>12</v>
      </c>
      <c r="B12" s="54" t="s">
        <v>178</v>
      </c>
      <c r="C12" s="54" t="s">
        <v>61</v>
      </c>
      <c r="D12" s="54" t="n">
        <v>2</v>
      </c>
      <c r="E12" s="55" t="str">
        <f aca="false">Results!$I$8</f>
        <v>Sized</v>
      </c>
      <c r="F12" s="33" t="n">
        <f aca="false">Results!$G$8</f>
        <v>5488</v>
      </c>
      <c r="G12" s="56" t="n">
        <f aca="false">INDEX(Inputs!$C$5:$E$5,1,$D12)</f>
        <v>0.4</v>
      </c>
      <c r="H12" s="57" t="n">
        <f aca="false">INDEX(Inputs!$C$6:$E$6,1,$D12)</f>
        <v>230</v>
      </c>
      <c r="I12" s="58" t="n">
        <f aca="false">IF($E12="Pending","",F12*G12*H12/1000)</f>
        <v>504.896</v>
      </c>
      <c r="J12" s="59" t="n">
        <f aca="false">INDEX(Inputs!$C$7:$E$7,1,$D12)</f>
        <v>922.3</v>
      </c>
      <c r="K12" s="58" t="n">
        <f aca="false">IF($E12="Pending","",I12*J12)</f>
        <v>465665.5808</v>
      </c>
      <c r="L12" s="60" t="n">
        <f aca="false">INDEX(Inputs!$C$8:$E$8,1,$D12)</f>
        <v>0.6</v>
      </c>
      <c r="M12" s="58" t="n">
        <f aca="false">IF($E12="Pending","",K12*L12)</f>
        <v>279399.34848</v>
      </c>
      <c r="N12" s="58" t="n">
        <f aca="false">IF($E12="Pending","",K12*(1-L12))</f>
        <v>186266.23232</v>
      </c>
      <c r="O12" s="61" t="n">
        <f aca="false">INDEX(Inputs!$C$9:$E$9,1,$D12)</f>
        <v>24.51</v>
      </c>
      <c r="P12" s="59" t="n">
        <f aca="false">INDEX(Inputs!$C$10:$E$10,1,$D12)</f>
        <v>4.1</v>
      </c>
      <c r="Q12" s="58" t="n">
        <f aca="false">IF($E12="Pending","",(M12*O12+N12*P12)/100)</f>
        <v>76117.695837568</v>
      </c>
      <c r="R12" s="59" t="n">
        <f aca="false">INDEX(Inputs!$C$12:$E$12,1,$D12)</f>
        <v>9.5</v>
      </c>
      <c r="S12" s="58" t="n">
        <f aca="false">IF($E12="Pending","",I12*R12)</f>
        <v>4796.512</v>
      </c>
      <c r="T12" s="58" t="n">
        <f aca="false">IF($E12="Pending","",Q12-S12)</f>
        <v>71321.183837568</v>
      </c>
      <c r="U12" s="58" t="n">
        <f aca="false">INDEX(Inputs!$C$11:$E$11,1,$D12)</f>
        <v>900</v>
      </c>
      <c r="V12" s="58" t="n">
        <f aca="false">IF($E12="Pending","",I12*U12)</f>
        <v>454406.4</v>
      </c>
      <c r="W12" s="59" t="n">
        <f aca="false">IF($E12="Pending","",IF(T12&lt;=0,"No payback",V12/T12))</f>
        <v>6.37126833220965</v>
      </c>
      <c r="X12" s="62" t="n">
        <f aca="false">INDEX(Inputs!$C$13:$E$13,1,$D12)</f>
        <v>0.13096</v>
      </c>
      <c r="Y12" s="63" t="n">
        <f aca="false">IF($E12="Pending","",K12*X12/1000)</f>
        <v>60.983564461568</v>
      </c>
    </row>
    <row r="13" customFormat="false" ht="15" hidden="false" customHeight="true" outlineLevel="0" collapsed="false">
      <c r="A13" s="44" t="n">
        <v>12</v>
      </c>
      <c r="B13" s="44" t="s">
        <v>178</v>
      </c>
      <c r="C13" s="44" t="s">
        <v>62</v>
      </c>
      <c r="D13" s="44" t="n">
        <v>3</v>
      </c>
      <c r="E13" s="45" t="str">
        <f aca="false">Results!$I$8</f>
        <v>Sized</v>
      </c>
      <c r="F13" s="32" t="n">
        <f aca="false">Results!$G$8</f>
        <v>5488</v>
      </c>
      <c r="G13" s="46" t="n">
        <f aca="false">INDEX(Inputs!$C$5:$E$5,1,$D13)</f>
        <v>0.462</v>
      </c>
      <c r="H13" s="47" t="n">
        <f aca="false">INDEX(Inputs!$C$6:$E$6,1,$D13)</f>
        <v>230</v>
      </c>
      <c r="I13" s="48" t="n">
        <f aca="false">IF($E13="Pending","",F13*G13*H13/1000)</f>
        <v>583.15488</v>
      </c>
      <c r="J13" s="49" t="n">
        <f aca="false">INDEX(Inputs!$C$7:$E$7,1,$D13)</f>
        <v>922.3</v>
      </c>
      <c r="K13" s="48" t="n">
        <f aca="false">IF($E13="Pending","",I13*J13)</f>
        <v>537843.745824</v>
      </c>
      <c r="L13" s="50" t="n">
        <f aca="false">INDEX(Inputs!$C$8:$E$8,1,$D13)</f>
        <v>0.8</v>
      </c>
      <c r="M13" s="48" t="n">
        <f aca="false">IF($E13="Pending","",K13*L13)</f>
        <v>430274.9966592</v>
      </c>
      <c r="N13" s="48" t="n">
        <f aca="false">IF($E13="Pending","",K13*(1-L13))</f>
        <v>107568.7491648</v>
      </c>
      <c r="O13" s="51" t="n">
        <f aca="false">INDEX(Inputs!$C$9:$E$9,1,$D13)</f>
        <v>24.51</v>
      </c>
      <c r="P13" s="49" t="n">
        <f aca="false">INDEX(Inputs!$C$10:$E$10,1,$D13)</f>
        <v>4.1</v>
      </c>
      <c r="Q13" s="48" t="n">
        <f aca="false">IF($E13="Pending","",(M13*O13+N13*P13)/100)</f>
        <v>109870.720396927</v>
      </c>
      <c r="R13" s="49" t="n">
        <f aca="false">INDEX(Inputs!$C$12:$E$12,1,$D13)</f>
        <v>7.6</v>
      </c>
      <c r="S13" s="48" t="n">
        <f aca="false">IF($E13="Pending","",I13*R13)</f>
        <v>4431.977088</v>
      </c>
      <c r="T13" s="48" t="n">
        <f aca="false">IF($E13="Pending","",Q13-S13)</f>
        <v>105438.743308927</v>
      </c>
      <c r="U13" s="48" t="n">
        <f aca="false">INDEX(Inputs!$C$11:$E$11,1,$D13)</f>
        <v>700</v>
      </c>
      <c r="V13" s="48" t="n">
        <f aca="false">IF($E13="Pending","",I13*U13)</f>
        <v>408208.416</v>
      </c>
      <c r="W13" s="49" t="n">
        <f aca="false">IF($E13="Pending","",IF(T13&lt;=0,"No payback",V13/T13))</f>
        <v>3.87152201543206</v>
      </c>
      <c r="X13" s="52" t="n">
        <f aca="false">INDEX(Inputs!$C$13:$E$13,1,$D13)</f>
        <v>0.13096</v>
      </c>
      <c r="Y13" s="53" t="n">
        <f aca="false">IF($E13="Pending","",K13*X13/1000)</f>
        <v>70.436016953111</v>
      </c>
    </row>
    <row r="14" customFormat="false" ht="15" hidden="false" customHeight="true" outlineLevel="0" collapsed="false">
      <c r="A14" s="44" t="n">
        <v>50</v>
      </c>
      <c r="B14" s="44" t="s">
        <v>182</v>
      </c>
      <c r="C14" s="44" t="s">
        <v>60</v>
      </c>
      <c r="D14" s="44" t="n">
        <v>1</v>
      </c>
      <c r="E14" s="45" t="str">
        <f aca="false">Results!$I$9</f>
        <v>Sized</v>
      </c>
      <c r="F14" s="32" t="n">
        <f aca="false">Results!$G$9</f>
        <v>11652</v>
      </c>
      <c r="G14" s="46" t="n">
        <f aca="false">INDEX(Inputs!$C$5:$E$5,1,$D14)</f>
        <v>0.294</v>
      </c>
      <c r="H14" s="47" t="n">
        <f aca="false">INDEX(Inputs!$C$6:$E$6,1,$D14)</f>
        <v>230</v>
      </c>
      <c r="I14" s="48" t="n">
        <f aca="false">IF($E14="Pending","",F14*G14*H14/1000)</f>
        <v>787.90824</v>
      </c>
      <c r="J14" s="49" t="n">
        <f aca="false">INDEX(Inputs!$C$7:$E$7,1,$D14)</f>
        <v>922.3</v>
      </c>
      <c r="K14" s="48" t="n">
        <f aca="false">IF($E14="Pending","",I14*J14)</f>
        <v>726687.769752</v>
      </c>
      <c r="L14" s="50" t="n">
        <f aca="false">INDEX(Inputs!$C$8:$E$8,1,$D14)</f>
        <v>0.4</v>
      </c>
      <c r="M14" s="48" t="n">
        <f aca="false">IF($E14="Pending","",K14*L14)</f>
        <v>290675.1079008</v>
      </c>
      <c r="N14" s="48" t="n">
        <f aca="false">IF($E14="Pending","",K14*(1-L14))</f>
        <v>436012.6618512</v>
      </c>
      <c r="O14" s="51" t="n">
        <f aca="false">INDEX(Inputs!$C$9:$E$9,1,$D14)</f>
        <v>24.51</v>
      </c>
      <c r="P14" s="49" t="n">
        <f aca="false">INDEX(Inputs!$C$10:$E$10,1,$D14)</f>
        <v>3</v>
      </c>
      <c r="Q14" s="48" t="n">
        <f aca="false">IF($E14="Pending","",(M14*O14+N14*P14)/100)</f>
        <v>84324.8488020221</v>
      </c>
      <c r="R14" s="49" t="n">
        <f aca="false">INDEX(Inputs!$C$12:$E$12,1,$D14)</f>
        <v>11.4</v>
      </c>
      <c r="S14" s="48" t="n">
        <f aca="false">IF($E14="Pending","",I14*R14)</f>
        <v>8982.153936</v>
      </c>
      <c r="T14" s="48" t="n">
        <f aca="false">IF($E14="Pending","",Q14-S14)</f>
        <v>75342.6948660221</v>
      </c>
      <c r="U14" s="48" t="n">
        <f aca="false">INDEX(Inputs!$C$11:$E$11,1,$D14)</f>
        <v>1100</v>
      </c>
      <c r="V14" s="48" t="n">
        <f aca="false">IF($E14="Pending","",I14*U14)</f>
        <v>866699.064</v>
      </c>
      <c r="W14" s="49" t="n">
        <f aca="false">IF($E14="Pending","",IF(T14&lt;=0,"No payback",V14/T14))</f>
        <v>11.50342532267</v>
      </c>
      <c r="X14" s="52" t="n">
        <f aca="false">INDEX(Inputs!$C$13:$E$13,1,$D14)</f>
        <v>0.13096</v>
      </c>
      <c r="Y14" s="53" t="n">
        <f aca="false">IF($E14="Pending","",K14*X14/1000)</f>
        <v>95.1670303267219</v>
      </c>
    </row>
    <row r="15" customFormat="false" ht="15" hidden="false" customHeight="true" outlineLevel="0" collapsed="false">
      <c r="A15" s="54" t="n">
        <v>50</v>
      </c>
      <c r="B15" s="54" t="s">
        <v>182</v>
      </c>
      <c r="C15" s="54" t="s">
        <v>61</v>
      </c>
      <c r="D15" s="54" t="n">
        <v>2</v>
      </c>
      <c r="E15" s="55" t="str">
        <f aca="false">Results!$I$9</f>
        <v>Sized</v>
      </c>
      <c r="F15" s="33" t="n">
        <f aca="false">Results!$G$9</f>
        <v>11652</v>
      </c>
      <c r="G15" s="56" t="n">
        <f aca="false">INDEX(Inputs!$C$5:$E$5,1,$D15)</f>
        <v>0.4</v>
      </c>
      <c r="H15" s="57" t="n">
        <f aca="false">INDEX(Inputs!$C$6:$E$6,1,$D15)</f>
        <v>230</v>
      </c>
      <c r="I15" s="58" t="n">
        <f aca="false">IF($E15="Pending","",F15*G15*H15/1000)</f>
        <v>1071.984</v>
      </c>
      <c r="J15" s="59" t="n">
        <f aca="false">INDEX(Inputs!$C$7:$E$7,1,$D15)</f>
        <v>922.3</v>
      </c>
      <c r="K15" s="58" t="n">
        <f aca="false">IF($E15="Pending","",I15*J15)</f>
        <v>988690.8432</v>
      </c>
      <c r="L15" s="60" t="n">
        <f aca="false">INDEX(Inputs!$C$8:$E$8,1,$D15)</f>
        <v>0.6</v>
      </c>
      <c r="M15" s="58" t="n">
        <f aca="false">IF($E15="Pending","",K15*L15)</f>
        <v>593214.50592</v>
      </c>
      <c r="N15" s="58" t="n">
        <f aca="false">IF($E15="Pending","",K15*(1-L15))</f>
        <v>395476.33728</v>
      </c>
      <c r="O15" s="61" t="n">
        <f aca="false">INDEX(Inputs!$C$9:$E$9,1,$D15)</f>
        <v>24.51</v>
      </c>
      <c r="P15" s="59" t="n">
        <f aca="false">INDEX(Inputs!$C$10:$E$10,1,$D15)</f>
        <v>4.1</v>
      </c>
      <c r="Q15" s="58" t="n">
        <f aca="false">IF($E15="Pending","",(M15*O15+N15*P15)/100)</f>
        <v>161611.405229472</v>
      </c>
      <c r="R15" s="59" t="n">
        <f aca="false">INDEX(Inputs!$C$12:$E$12,1,$D15)</f>
        <v>9.5</v>
      </c>
      <c r="S15" s="58" t="n">
        <f aca="false">IF($E15="Pending","",I15*R15)</f>
        <v>10183.848</v>
      </c>
      <c r="T15" s="58" t="n">
        <f aca="false">IF($E15="Pending","",Q15-S15)</f>
        <v>151427.557229472</v>
      </c>
      <c r="U15" s="58" t="n">
        <f aca="false">INDEX(Inputs!$C$11:$E$11,1,$D15)</f>
        <v>900</v>
      </c>
      <c r="V15" s="58" t="n">
        <f aca="false">IF($E15="Pending","",I15*U15)</f>
        <v>964785.6</v>
      </c>
      <c r="W15" s="59" t="n">
        <f aca="false">IF($E15="Pending","",IF(T15&lt;=0,"No payback",V15/T15))</f>
        <v>6.37126833220966</v>
      </c>
      <c r="X15" s="62" t="n">
        <f aca="false">INDEX(Inputs!$C$13:$E$13,1,$D15)</f>
        <v>0.13096</v>
      </c>
      <c r="Y15" s="63" t="n">
        <f aca="false">IF($E15="Pending","",K15*X15/1000)</f>
        <v>129.478952825472</v>
      </c>
    </row>
    <row r="16" customFormat="false" ht="15" hidden="false" customHeight="true" outlineLevel="0" collapsed="false">
      <c r="A16" s="44" t="n">
        <v>50</v>
      </c>
      <c r="B16" s="44" t="s">
        <v>182</v>
      </c>
      <c r="C16" s="44" t="s">
        <v>62</v>
      </c>
      <c r="D16" s="44" t="n">
        <v>3</v>
      </c>
      <c r="E16" s="45" t="str">
        <f aca="false">Results!$I$9</f>
        <v>Sized</v>
      </c>
      <c r="F16" s="32" t="n">
        <f aca="false">Results!$G$9</f>
        <v>11652</v>
      </c>
      <c r="G16" s="46" t="n">
        <f aca="false">INDEX(Inputs!$C$5:$E$5,1,$D16)</f>
        <v>0.462</v>
      </c>
      <c r="H16" s="47" t="n">
        <f aca="false">INDEX(Inputs!$C$6:$E$6,1,$D16)</f>
        <v>230</v>
      </c>
      <c r="I16" s="48" t="n">
        <f aca="false">IF($E16="Pending","",F16*G16*H16/1000)</f>
        <v>1238.14152</v>
      </c>
      <c r="J16" s="49" t="n">
        <f aca="false">INDEX(Inputs!$C$7:$E$7,1,$D16)</f>
        <v>922.3</v>
      </c>
      <c r="K16" s="48" t="n">
        <f aca="false">IF($E16="Pending","",I16*J16)</f>
        <v>1141937.923896</v>
      </c>
      <c r="L16" s="50" t="n">
        <f aca="false">INDEX(Inputs!$C$8:$E$8,1,$D16)</f>
        <v>0.8</v>
      </c>
      <c r="M16" s="48" t="n">
        <f aca="false">IF($E16="Pending","",K16*L16)</f>
        <v>913550.3391168</v>
      </c>
      <c r="N16" s="48" t="n">
        <f aca="false">IF($E16="Pending","",K16*(1-L16))</f>
        <v>228387.5847792</v>
      </c>
      <c r="O16" s="51" t="n">
        <f aca="false">INDEX(Inputs!$C$9:$E$9,1,$D16)</f>
        <v>24.51</v>
      </c>
      <c r="P16" s="49" t="n">
        <f aca="false">INDEX(Inputs!$C$10:$E$10,1,$D16)</f>
        <v>4.1</v>
      </c>
      <c r="Q16" s="48" t="n">
        <f aca="false">IF($E16="Pending","",(M16*O16+N16*P16)/100)</f>
        <v>233275.079093475</v>
      </c>
      <c r="R16" s="49" t="n">
        <f aca="false">INDEX(Inputs!$C$12:$E$12,1,$D16)</f>
        <v>7.6</v>
      </c>
      <c r="S16" s="48" t="n">
        <f aca="false">IF($E16="Pending","",I16*R16)</f>
        <v>9409.875552</v>
      </c>
      <c r="T16" s="48" t="n">
        <f aca="false">IF($E16="Pending","",Q16-S16)</f>
        <v>223865.203541475</v>
      </c>
      <c r="U16" s="48" t="n">
        <f aca="false">INDEX(Inputs!$C$11:$E$11,1,$D16)</f>
        <v>700</v>
      </c>
      <c r="V16" s="48" t="n">
        <f aca="false">IF($E16="Pending","",I16*U16)</f>
        <v>866699.064</v>
      </c>
      <c r="W16" s="49" t="n">
        <f aca="false">IF($E16="Pending","",IF(T16&lt;=0,"No payback",V16/T16))</f>
        <v>3.87152201543206</v>
      </c>
      <c r="X16" s="52" t="n">
        <f aca="false">INDEX(Inputs!$C$13:$E$13,1,$D16)</f>
        <v>0.13096</v>
      </c>
      <c r="Y16" s="53" t="n">
        <f aca="false">IF($E16="Pending","",K16*X16/1000)</f>
        <v>149.54819051342</v>
      </c>
    </row>
    <row r="17" customFormat="false" ht="15" hidden="false" customHeight="true" outlineLevel="0" collapsed="false">
      <c r="A17" s="44" t="n">
        <v>26</v>
      </c>
      <c r="B17" s="44" t="s">
        <v>183</v>
      </c>
      <c r="C17" s="44" t="s">
        <v>60</v>
      </c>
      <c r="D17" s="44" t="n">
        <v>1</v>
      </c>
      <c r="E17" s="45" t="str">
        <f aca="false">Results!$I$10</f>
        <v>Sized</v>
      </c>
      <c r="F17" s="32" t="n">
        <f aca="false">Results!$G$10</f>
        <v>5428</v>
      </c>
      <c r="G17" s="46" t="n">
        <f aca="false">INDEX(Inputs!$C$5:$E$5,1,$D17)</f>
        <v>0.294</v>
      </c>
      <c r="H17" s="47" t="n">
        <f aca="false">INDEX(Inputs!$C$6:$E$6,1,$D17)</f>
        <v>230</v>
      </c>
      <c r="I17" s="48" t="n">
        <f aca="false">IF($E17="Pending","",F17*G17*H17/1000)</f>
        <v>367.04136</v>
      </c>
      <c r="J17" s="49" t="n">
        <f aca="false">INDEX(Inputs!$C$7:$E$7,1,$D17)</f>
        <v>922.3</v>
      </c>
      <c r="K17" s="48" t="n">
        <f aca="false">IF($E17="Pending","",I17*J17)</f>
        <v>338522.246328</v>
      </c>
      <c r="L17" s="50" t="n">
        <f aca="false">INDEX(Inputs!$C$8:$E$8,1,$D17)</f>
        <v>0.4</v>
      </c>
      <c r="M17" s="48" t="n">
        <f aca="false">IF($E17="Pending","",K17*L17)</f>
        <v>135408.8985312</v>
      </c>
      <c r="N17" s="48" t="n">
        <f aca="false">IF($E17="Pending","",K17*(1-L17))</f>
        <v>203113.3477968</v>
      </c>
      <c r="O17" s="51" t="n">
        <f aca="false">INDEX(Inputs!$C$9:$E$9,1,$D17)</f>
        <v>24.51</v>
      </c>
      <c r="P17" s="49" t="n">
        <f aca="false">INDEX(Inputs!$C$10:$E$10,1,$D17)</f>
        <v>3</v>
      </c>
      <c r="Q17" s="48" t="n">
        <f aca="false">IF($E17="Pending","",(M17*O17+N17*P17)/100)</f>
        <v>39282.1214639011</v>
      </c>
      <c r="R17" s="49" t="n">
        <f aca="false">INDEX(Inputs!$C$12:$E$12,1,$D17)</f>
        <v>11.4</v>
      </c>
      <c r="S17" s="48" t="n">
        <f aca="false">IF($E17="Pending","",I17*R17)</f>
        <v>4184.271504</v>
      </c>
      <c r="T17" s="48" t="n">
        <f aca="false">IF($E17="Pending","",Q17-S17)</f>
        <v>35097.8499599011</v>
      </c>
      <c r="U17" s="48" t="n">
        <f aca="false">INDEX(Inputs!$C$11:$E$11,1,$D17)</f>
        <v>1100</v>
      </c>
      <c r="V17" s="48" t="n">
        <f aca="false">IF($E17="Pending","",I17*U17)</f>
        <v>403745.496</v>
      </c>
      <c r="W17" s="49" t="n">
        <f aca="false">IF($E17="Pending","",IF(T17&lt;=0,"No payback",V17/T17))</f>
        <v>11.50342532267</v>
      </c>
      <c r="X17" s="52" t="n">
        <f aca="false">INDEX(Inputs!$C$13:$E$13,1,$D17)</f>
        <v>0.13096</v>
      </c>
      <c r="Y17" s="53" t="n">
        <f aca="false">IF($E17="Pending","",K17*X17/1000)</f>
        <v>44.3328733791149</v>
      </c>
    </row>
    <row r="18" customFormat="false" ht="15" hidden="false" customHeight="true" outlineLevel="0" collapsed="false">
      <c r="A18" s="54" t="n">
        <v>26</v>
      </c>
      <c r="B18" s="54" t="s">
        <v>183</v>
      </c>
      <c r="C18" s="54" t="s">
        <v>61</v>
      </c>
      <c r="D18" s="54" t="n">
        <v>2</v>
      </c>
      <c r="E18" s="55" t="str">
        <f aca="false">Results!$I$10</f>
        <v>Sized</v>
      </c>
      <c r="F18" s="33" t="n">
        <f aca="false">Results!$G$10</f>
        <v>5428</v>
      </c>
      <c r="G18" s="56" t="n">
        <f aca="false">INDEX(Inputs!$C$5:$E$5,1,$D18)</f>
        <v>0.4</v>
      </c>
      <c r="H18" s="57" t="n">
        <f aca="false">INDEX(Inputs!$C$6:$E$6,1,$D18)</f>
        <v>230</v>
      </c>
      <c r="I18" s="58" t="n">
        <f aca="false">IF($E18="Pending","",F18*G18*H18/1000)</f>
        <v>499.376</v>
      </c>
      <c r="J18" s="59" t="n">
        <f aca="false">INDEX(Inputs!$C$7:$E$7,1,$D18)</f>
        <v>922.3</v>
      </c>
      <c r="K18" s="58" t="n">
        <f aca="false">IF($E18="Pending","",I18*J18)</f>
        <v>460574.4848</v>
      </c>
      <c r="L18" s="60" t="n">
        <f aca="false">INDEX(Inputs!$C$8:$E$8,1,$D18)</f>
        <v>0.6</v>
      </c>
      <c r="M18" s="58" t="n">
        <f aca="false">IF($E18="Pending","",K18*L18)</f>
        <v>276344.69088</v>
      </c>
      <c r="N18" s="58" t="n">
        <f aca="false">IF($E18="Pending","",K18*(1-L18))</f>
        <v>184229.79392</v>
      </c>
      <c r="O18" s="61" t="n">
        <f aca="false">INDEX(Inputs!$C$9:$E$9,1,$D18)</f>
        <v>24.51</v>
      </c>
      <c r="P18" s="59" t="n">
        <f aca="false">INDEX(Inputs!$C$10:$E$10,1,$D18)</f>
        <v>4.1</v>
      </c>
      <c r="Q18" s="58" t="n">
        <f aca="false">IF($E18="Pending","",(M18*O18+N18*P18)/100)</f>
        <v>75285.505285408</v>
      </c>
      <c r="R18" s="59" t="n">
        <f aca="false">INDEX(Inputs!$C$12:$E$12,1,$D18)</f>
        <v>9.5</v>
      </c>
      <c r="S18" s="58" t="n">
        <f aca="false">IF($E18="Pending","",I18*R18)</f>
        <v>4744.072</v>
      </c>
      <c r="T18" s="58" t="n">
        <f aca="false">IF($E18="Pending","",Q18-S18)</f>
        <v>70541.433285408</v>
      </c>
      <c r="U18" s="58" t="n">
        <f aca="false">INDEX(Inputs!$C$11:$E$11,1,$D18)</f>
        <v>900</v>
      </c>
      <c r="V18" s="58" t="n">
        <f aca="false">IF($E18="Pending","",I18*U18)</f>
        <v>449438.4</v>
      </c>
      <c r="W18" s="59" t="n">
        <f aca="false">IF($E18="Pending","",IF(T18&lt;=0,"No payback",V18/T18))</f>
        <v>6.37126833220965</v>
      </c>
      <c r="X18" s="62" t="n">
        <f aca="false">INDEX(Inputs!$C$13:$E$13,1,$D18)</f>
        <v>0.13096</v>
      </c>
      <c r="Y18" s="63" t="n">
        <f aca="false">IF($E18="Pending","",K18*X18/1000)</f>
        <v>60.316834529408</v>
      </c>
    </row>
    <row r="19" customFormat="false" ht="15" hidden="false" customHeight="true" outlineLevel="0" collapsed="false">
      <c r="A19" s="44" t="n">
        <v>26</v>
      </c>
      <c r="B19" s="44" t="s">
        <v>183</v>
      </c>
      <c r="C19" s="44" t="s">
        <v>62</v>
      </c>
      <c r="D19" s="44" t="n">
        <v>3</v>
      </c>
      <c r="E19" s="45" t="str">
        <f aca="false">Results!$I$10</f>
        <v>Sized</v>
      </c>
      <c r="F19" s="32" t="n">
        <f aca="false">Results!$G$10</f>
        <v>5428</v>
      </c>
      <c r="G19" s="46" t="n">
        <f aca="false">INDEX(Inputs!$C$5:$E$5,1,$D19)</f>
        <v>0.462</v>
      </c>
      <c r="H19" s="47" t="n">
        <f aca="false">INDEX(Inputs!$C$6:$E$6,1,$D19)</f>
        <v>230</v>
      </c>
      <c r="I19" s="48" t="n">
        <f aca="false">IF($E19="Pending","",F19*G19*H19/1000)</f>
        <v>576.77928</v>
      </c>
      <c r="J19" s="49" t="n">
        <f aca="false">INDEX(Inputs!$C$7:$E$7,1,$D19)</f>
        <v>922.3</v>
      </c>
      <c r="K19" s="48" t="n">
        <f aca="false">IF($E19="Pending","",I19*J19)</f>
        <v>531963.529944</v>
      </c>
      <c r="L19" s="50" t="n">
        <f aca="false">INDEX(Inputs!$C$8:$E$8,1,$D19)</f>
        <v>0.8</v>
      </c>
      <c r="M19" s="48" t="n">
        <f aca="false">IF($E19="Pending","",K19*L19)</f>
        <v>425570.8239552</v>
      </c>
      <c r="N19" s="48" t="n">
        <f aca="false">IF($E19="Pending","",K19*(1-L19))</f>
        <v>106392.7059888</v>
      </c>
      <c r="O19" s="51" t="n">
        <f aca="false">INDEX(Inputs!$C$9:$E$9,1,$D19)</f>
        <v>24.51</v>
      </c>
      <c r="P19" s="49" t="n">
        <f aca="false">INDEX(Inputs!$C$10:$E$10,1,$D19)</f>
        <v>4.1</v>
      </c>
      <c r="Q19" s="48" t="n">
        <f aca="false">IF($E19="Pending","",(M19*O19+N19*P19)/100)</f>
        <v>108669.50989696</v>
      </c>
      <c r="R19" s="49" t="n">
        <f aca="false">INDEX(Inputs!$C$12:$E$12,1,$D19)</f>
        <v>7.6</v>
      </c>
      <c r="S19" s="48" t="n">
        <f aca="false">IF($E19="Pending","",I19*R19)</f>
        <v>4383.522528</v>
      </c>
      <c r="T19" s="48" t="n">
        <f aca="false">IF($E19="Pending","",Q19-S19)</f>
        <v>104285.98736896</v>
      </c>
      <c r="U19" s="48" t="n">
        <f aca="false">INDEX(Inputs!$C$11:$E$11,1,$D19)</f>
        <v>700</v>
      </c>
      <c r="V19" s="48" t="n">
        <f aca="false">IF($E19="Pending","",I19*U19)</f>
        <v>403745.496</v>
      </c>
      <c r="W19" s="49" t="n">
        <f aca="false">IF($E19="Pending","",IF(T19&lt;=0,"No payback",V19/T19))</f>
        <v>3.87152201543206</v>
      </c>
      <c r="X19" s="52" t="n">
        <f aca="false">INDEX(Inputs!$C$13:$E$13,1,$D19)</f>
        <v>0.13096</v>
      </c>
      <c r="Y19" s="53" t="n">
        <f aca="false">IF($E19="Pending","",K19*X19/1000)</f>
        <v>69.6659438814662</v>
      </c>
    </row>
    <row r="20" customFormat="false" ht="15" hidden="false" customHeight="true" outlineLevel="0" collapsed="false">
      <c r="A20" s="44" t="n">
        <v>13</v>
      </c>
      <c r="B20" s="44" t="s">
        <v>185</v>
      </c>
      <c r="C20" s="44" t="s">
        <v>60</v>
      </c>
      <c r="D20" s="44" t="n">
        <v>1</v>
      </c>
      <c r="E20" s="45" t="str">
        <f aca="false">Results!$I$11</f>
        <v>Sized</v>
      </c>
      <c r="F20" s="32" t="n">
        <f aca="false">Results!$G$11</f>
        <v>4424</v>
      </c>
      <c r="G20" s="46" t="n">
        <f aca="false">INDEX(Inputs!$C$5:$E$5,1,$D20)</f>
        <v>0.294</v>
      </c>
      <c r="H20" s="47" t="n">
        <f aca="false">INDEX(Inputs!$C$6:$E$6,1,$D20)</f>
        <v>230</v>
      </c>
      <c r="I20" s="48" t="n">
        <f aca="false">IF($E20="Pending","",F20*G20*H20/1000)</f>
        <v>299.15088</v>
      </c>
      <c r="J20" s="49" t="n">
        <f aca="false">INDEX(Inputs!$C$7:$E$7,1,$D20)</f>
        <v>922.3</v>
      </c>
      <c r="K20" s="48" t="n">
        <f aca="false">IF($E20="Pending","",I20*J20)</f>
        <v>275906.856624</v>
      </c>
      <c r="L20" s="50" t="n">
        <f aca="false">INDEX(Inputs!$C$8:$E$8,1,$D20)</f>
        <v>0.4</v>
      </c>
      <c r="M20" s="48" t="n">
        <f aca="false">IF($E20="Pending","",K20*L20)</f>
        <v>110362.7426496</v>
      </c>
      <c r="N20" s="48" t="n">
        <f aca="false">IF($E20="Pending","",K20*(1-L20))</f>
        <v>165544.1139744</v>
      </c>
      <c r="O20" s="51" t="n">
        <f aca="false">INDEX(Inputs!$C$9:$E$9,1,$D20)</f>
        <v>24.51</v>
      </c>
      <c r="P20" s="49" t="n">
        <f aca="false">INDEX(Inputs!$C$10:$E$10,1,$D20)</f>
        <v>3</v>
      </c>
      <c r="Q20" s="48" t="n">
        <f aca="false">IF($E20="Pending","",(M20*O20+N20*P20)/100)</f>
        <v>32016.231642649</v>
      </c>
      <c r="R20" s="49" t="n">
        <f aca="false">INDEX(Inputs!$C$12:$E$12,1,$D20)</f>
        <v>11.4</v>
      </c>
      <c r="S20" s="48" t="n">
        <f aca="false">IF($E20="Pending","",I20*R20)</f>
        <v>3410.320032</v>
      </c>
      <c r="T20" s="48" t="n">
        <f aca="false">IF($E20="Pending","",Q20-S20)</f>
        <v>28605.911610649</v>
      </c>
      <c r="U20" s="48" t="n">
        <f aca="false">INDEX(Inputs!$C$11:$E$11,1,$D20)</f>
        <v>1100</v>
      </c>
      <c r="V20" s="48" t="n">
        <f aca="false">IF($E20="Pending","",I20*U20)</f>
        <v>329065.968</v>
      </c>
      <c r="W20" s="49" t="n">
        <f aca="false">IF($E20="Pending","",IF(T20&lt;=0,"No payback",V20/T20))</f>
        <v>11.50342532267</v>
      </c>
      <c r="X20" s="52" t="n">
        <f aca="false">INDEX(Inputs!$C$13:$E$13,1,$D20)</f>
        <v>0.13096</v>
      </c>
      <c r="Y20" s="53" t="n">
        <f aca="false">IF($E20="Pending","",K20*X20/1000)</f>
        <v>36.132761943479</v>
      </c>
    </row>
    <row r="21" customFormat="false" ht="15" hidden="false" customHeight="true" outlineLevel="0" collapsed="false">
      <c r="A21" s="54" t="n">
        <v>13</v>
      </c>
      <c r="B21" s="54" t="s">
        <v>185</v>
      </c>
      <c r="C21" s="54" t="s">
        <v>61</v>
      </c>
      <c r="D21" s="54" t="n">
        <v>2</v>
      </c>
      <c r="E21" s="55" t="str">
        <f aca="false">Results!$I$11</f>
        <v>Sized</v>
      </c>
      <c r="F21" s="33" t="n">
        <f aca="false">Results!$G$11</f>
        <v>4424</v>
      </c>
      <c r="G21" s="56" t="n">
        <f aca="false">INDEX(Inputs!$C$5:$E$5,1,$D21)</f>
        <v>0.4</v>
      </c>
      <c r="H21" s="57" t="n">
        <f aca="false">INDEX(Inputs!$C$6:$E$6,1,$D21)</f>
        <v>230</v>
      </c>
      <c r="I21" s="58" t="n">
        <f aca="false">IF($E21="Pending","",F21*G21*H21/1000)</f>
        <v>407.008</v>
      </c>
      <c r="J21" s="59" t="n">
        <f aca="false">INDEX(Inputs!$C$7:$E$7,1,$D21)</f>
        <v>922.3</v>
      </c>
      <c r="K21" s="58" t="n">
        <f aca="false">IF($E21="Pending","",I21*J21)</f>
        <v>375383.4784</v>
      </c>
      <c r="L21" s="60" t="n">
        <f aca="false">INDEX(Inputs!$C$8:$E$8,1,$D21)</f>
        <v>0.6</v>
      </c>
      <c r="M21" s="58" t="n">
        <f aca="false">IF($E21="Pending","",K21*L21)</f>
        <v>225230.08704</v>
      </c>
      <c r="N21" s="58" t="n">
        <f aca="false">IF($E21="Pending","",K21*(1-L21))</f>
        <v>150153.39136</v>
      </c>
      <c r="O21" s="61" t="n">
        <f aca="false">INDEX(Inputs!$C$9:$E$9,1,$D21)</f>
        <v>24.51</v>
      </c>
      <c r="P21" s="59" t="n">
        <f aca="false">INDEX(Inputs!$C$10:$E$10,1,$D21)</f>
        <v>4.1</v>
      </c>
      <c r="Q21" s="58" t="n">
        <f aca="false">IF($E21="Pending","",(M21*O21+N21*P21)/100)</f>
        <v>61360.183379264</v>
      </c>
      <c r="R21" s="59" t="n">
        <f aca="false">INDEX(Inputs!$C$12:$E$12,1,$D21)</f>
        <v>9.5</v>
      </c>
      <c r="S21" s="58" t="n">
        <f aca="false">IF($E21="Pending","",I21*R21)</f>
        <v>3866.576</v>
      </c>
      <c r="T21" s="58" t="n">
        <f aca="false">IF($E21="Pending","",Q21-S21)</f>
        <v>57493.607379264</v>
      </c>
      <c r="U21" s="58" t="n">
        <f aca="false">INDEX(Inputs!$C$11:$E$11,1,$D21)</f>
        <v>900</v>
      </c>
      <c r="V21" s="58" t="n">
        <f aca="false">IF($E21="Pending","",I21*U21)</f>
        <v>366307.2</v>
      </c>
      <c r="W21" s="59" t="n">
        <f aca="false">IF($E21="Pending","",IF(T21&lt;=0,"No payback",V21/T21))</f>
        <v>6.37126833220965</v>
      </c>
      <c r="X21" s="62" t="n">
        <f aca="false">INDEX(Inputs!$C$13:$E$13,1,$D21)</f>
        <v>0.13096</v>
      </c>
      <c r="Y21" s="63" t="n">
        <f aca="false">IF($E21="Pending","",K21*X21/1000)</f>
        <v>49.160220331264</v>
      </c>
    </row>
    <row r="22" customFormat="false" ht="15" hidden="false" customHeight="true" outlineLevel="0" collapsed="false">
      <c r="A22" s="44" t="n">
        <v>13</v>
      </c>
      <c r="B22" s="44" t="s">
        <v>185</v>
      </c>
      <c r="C22" s="44" t="s">
        <v>62</v>
      </c>
      <c r="D22" s="44" t="n">
        <v>3</v>
      </c>
      <c r="E22" s="45" t="str">
        <f aca="false">Results!$I$11</f>
        <v>Sized</v>
      </c>
      <c r="F22" s="32" t="n">
        <f aca="false">Results!$G$11</f>
        <v>4424</v>
      </c>
      <c r="G22" s="46" t="n">
        <f aca="false">INDEX(Inputs!$C$5:$E$5,1,$D22)</f>
        <v>0.462</v>
      </c>
      <c r="H22" s="47" t="n">
        <f aca="false">INDEX(Inputs!$C$6:$E$6,1,$D22)</f>
        <v>230</v>
      </c>
      <c r="I22" s="48" t="n">
        <f aca="false">IF($E22="Pending","",F22*G22*H22/1000)</f>
        <v>470.09424</v>
      </c>
      <c r="J22" s="49" t="n">
        <f aca="false">INDEX(Inputs!$C$7:$E$7,1,$D22)</f>
        <v>922.3</v>
      </c>
      <c r="K22" s="48" t="n">
        <f aca="false">IF($E22="Pending","",I22*J22)</f>
        <v>433567.917552</v>
      </c>
      <c r="L22" s="50" t="n">
        <f aca="false">INDEX(Inputs!$C$8:$E$8,1,$D22)</f>
        <v>0.8</v>
      </c>
      <c r="M22" s="48" t="n">
        <f aca="false">IF($E22="Pending","",K22*L22)</f>
        <v>346854.3340416</v>
      </c>
      <c r="N22" s="48" t="n">
        <f aca="false">IF($E22="Pending","",K22*(1-L22))</f>
        <v>86713.5835104</v>
      </c>
      <c r="O22" s="51" t="n">
        <f aca="false">INDEX(Inputs!$C$9:$E$9,1,$D22)</f>
        <v>24.51</v>
      </c>
      <c r="P22" s="49" t="n">
        <f aca="false">INDEX(Inputs!$C$10:$E$10,1,$D22)</f>
        <v>4.1</v>
      </c>
      <c r="Q22" s="48" t="n">
        <f aca="false">IF($E22="Pending","",(M22*O22+N22*P22)/100)</f>
        <v>88569.2541975226</v>
      </c>
      <c r="R22" s="49" t="n">
        <f aca="false">INDEX(Inputs!$C$12:$E$12,1,$D22)</f>
        <v>7.6</v>
      </c>
      <c r="S22" s="48" t="n">
        <f aca="false">IF($E22="Pending","",I22*R22)</f>
        <v>3572.716224</v>
      </c>
      <c r="T22" s="48" t="n">
        <f aca="false">IF($E22="Pending","",Q22-S22)</f>
        <v>84996.5379735226</v>
      </c>
      <c r="U22" s="48" t="n">
        <f aca="false">INDEX(Inputs!$C$11:$E$11,1,$D22)</f>
        <v>700</v>
      </c>
      <c r="V22" s="48" t="n">
        <f aca="false">IF($E22="Pending","",I22*U22)</f>
        <v>329065.968</v>
      </c>
      <c r="W22" s="49" t="n">
        <f aca="false">IF($E22="Pending","",IF(T22&lt;=0,"No payback",V22/T22))</f>
        <v>3.87152201543206</v>
      </c>
      <c r="X22" s="52" t="n">
        <f aca="false">INDEX(Inputs!$C$13:$E$13,1,$D22)</f>
        <v>0.13096</v>
      </c>
      <c r="Y22" s="53" t="n">
        <f aca="false">IF($E22="Pending","",K22*X22/1000)</f>
        <v>56.7800544826099</v>
      </c>
    </row>
    <row r="23" customFormat="false" ht="15" hidden="false" customHeight="true" outlineLevel="0" collapsed="false">
      <c r="A23" s="44" t="n">
        <v>24</v>
      </c>
      <c r="B23" s="44" t="s">
        <v>187</v>
      </c>
      <c r="C23" s="44" t="s">
        <v>60</v>
      </c>
      <c r="D23" s="44" t="n">
        <v>1</v>
      </c>
      <c r="E23" s="45" t="str">
        <f aca="false">Results!$I$12</f>
        <v>Sized</v>
      </c>
      <c r="F23" s="32" t="n">
        <f aca="false">Results!$G$12</f>
        <v>9070</v>
      </c>
      <c r="G23" s="46" t="n">
        <f aca="false">INDEX(Inputs!$C$5:$E$5,1,$D23)</f>
        <v>0.294</v>
      </c>
      <c r="H23" s="47" t="n">
        <f aca="false">INDEX(Inputs!$C$6:$E$6,1,$D23)</f>
        <v>230</v>
      </c>
      <c r="I23" s="48" t="n">
        <f aca="false">IF($E23="Pending","",F23*G23*H23/1000)</f>
        <v>613.3134</v>
      </c>
      <c r="J23" s="49" t="n">
        <f aca="false">INDEX(Inputs!$C$7:$E$7,1,$D23)</f>
        <v>922.3</v>
      </c>
      <c r="K23" s="48" t="n">
        <f aca="false">IF($E23="Pending","",I23*J23)</f>
        <v>565658.94882</v>
      </c>
      <c r="L23" s="50" t="n">
        <f aca="false">INDEX(Inputs!$C$8:$E$8,1,$D23)</f>
        <v>0.4</v>
      </c>
      <c r="M23" s="48" t="n">
        <f aca="false">IF($E23="Pending","",K23*L23)</f>
        <v>226263.579528</v>
      </c>
      <c r="N23" s="48" t="n">
        <f aca="false">IF($E23="Pending","",K23*(1-L23))</f>
        <v>339395.369292</v>
      </c>
      <c r="O23" s="51" t="n">
        <f aca="false">INDEX(Inputs!$C$9:$E$9,1,$D23)</f>
        <v>24.51</v>
      </c>
      <c r="P23" s="49" t="n">
        <f aca="false">INDEX(Inputs!$C$10:$E$10,1,$D23)</f>
        <v>3</v>
      </c>
      <c r="Q23" s="48" t="n">
        <f aca="false">IF($E23="Pending","",(M23*O23+N23*P23)/100)</f>
        <v>65639.0644210728</v>
      </c>
      <c r="R23" s="49" t="n">
        <f aca="false">INDEX(Inputs!$C$12:$E$12,1,$D23)</f>
        <v>11.4</v>
      </c>
      <c r="S23" s="48" t="n">
        <f aca="false">IF($E23="Pending","",I23*R23)</f>
        <v>6991.77276</v>
      </c>
      <c r="T23" s="48" t="n">
        <f aca="false">IF($E23="Pending","",Q23-S23)</f>
        <v>58647.2916610728</v>
      </c>
      <c r="U23" s="48" t="n">
        <f aca="false">INDEX(Inputs!$C$11:$E$11,1,$D23)</f>
        <v>1100</v>
      </c>
      <c r="V23" s="48" t="n">
        <f aca="false">IF($E23="Pending","",I23*U23)</f>
        <v>674644.74</v>
      </c>
      <c r="W23" s="49" t="n">
        <f aca="false">IF($E23="Pending","",IF(T23&lt;=0,"No payback",V23/T23))</f>
        <v>11.50342532267</v>
      </c>
      <c r="X23" s="52" t="n">
        <f aca="false">INDEX(Inputs!$C$13:$E$13,1,$D23)</f>
        <v>0.13096</v>
      </c>
      <c r="Y23" s="53" t="n">
        <f aca="false">IF($E23="Pending","",K23*X23/1000)</f>
        <v>74.0786959374672</v>
      </c>
    </row>
    <row r="24" customFormat="false" ht="15" hidden="false" customHeight="true" outlineLevel="0" collapsed="false">
      <c r="A24" s="54" t="n">
        <v>24</v>
      </c>
      <c r="B24" s="54" t="s">
        <v>187</v>
      </c>
      <c r="C24" s="54" t="s">
        <v>61</v>
      </c>
      <c r="D24" s="54" t="n">
        <v>2</v>
      </c>
      <c r="E24" s="55" t="str">
        <f aca="false">Results!$I$12</f>
        <v>Sized</v>
      </c>
      <c r="F24" s="33" t="n">
        <f aca="false">Results!$G$12</f>
        <v>9070</v>
      </c>
      <c r="G24" s="56" t="n">
        <f aca="false">INDEX(Inputs!$C$5:$E$5,1,$D24)</f>
        <v>0.4</v>
      </c>
      <c r="H24" s="57" t="n">
        <f aca="false">INDEX(Inputs!$C$6:$E$6,1,$D24)</f>
        <v>230</v>
      </c>
      <c r="I24" s="58" t="n">
        <f aca="false">IF($E24="Pending","",F24*G24*H24/1000)</f>
        <v>834.44</v>
      </c>
      <c r="J24" s="59" t="n">
        <f aca="false">INDEX(Inputs!$C$7:$E$7,1,$D24)</f>
        <v>922.3</v>
      </c>
      <c r="K24" s="58" t="n">
        <f aca="false">IF($E24="Pending","",I24*J24)</f>
        <v>769604.012</v>
      </c>
      <c r="L24" s="60" t="n">
        <f aca="false">INDEX(Inputs!$C$8:$E$8,1,$D24)</f>
        <v>0.6</v>
      </c>
      <c r="M24" s="58" t="n">
        <f aca="false">IF($E24="Pending","",K24*L24)</f>
        <v>461762.4072</v>
      </c>
      <c r="N24" s="58" t="n">
        <f aca="false">IF($E24="Pending","",K24*(1-L24))</f>
        <v>307841.6048</v>
      </c>
      <c r="O24" s="61" t="n">
        <f aca="false">INDEX(Inputs!$C$9:$E$9,1,$D24)</f>
        <v>24.51</v>
      </c>
      <c r="P24" s="59" t="n">
        <f aca="false">INDEX(Inputs!$C$10:$E$10,1,$D24)</f>
        <v>4.1</v>
      </c>
      <c r="Q24" s="58" t="n">
        <f aca="false">IF($E24="Pending","",(M24*O24+N24*P24)/100)</f>
        <v>125799.47180152</v>
      </c>
      <c r="R24" s="59" t="n">
        <f aca="false">INDEX(Inputs!$C$12:$E$12,1,$D24)</f>
        <v>9.5</v>
      </c>
      <c r="S24" s="58" t="n">
        <f aca="false">IF($E24="Pending","",I24*R24)</f>
        <v>7927.18</v>
      </c>
      <c r="T24" s="58" t="n">
        <f aca="false">IF($E24="Pending","",Q24-S24)</f>
        <v>117872.29180152</v>
      </c>
      <c r="U24" s="58" t="n">
        <f aca="false">INDEX(Inputs!$C$11:$E$11,1,$D24)</f>
        <v>900</v>
      </c>
      <c r="V24" s="58" t="n">
        <f aca="false">IF($E24="Pending","",I24*U24)</f>
        <v>750996</v>
      </c>
      <c r="W24" s="59" t="n">
        <f aca="false">IF($E24="Pending","",IF(T24&lt;=0,"No payback",V24/T24))</f>
        <v>6.37126833220966</v>
      </c>
      <c r="X24" s="62" t="n">
        <f aca="false">INDEX(Inputs!$C$13:$E$13,1,$D24)</f>
        <v>0.13096</v>
      </c>
      <c r="Y24" s="63" t="n">
        <f aca="false">IF($E24="Pending","",K24*X24/1000)</f>
        <v>100.78734141152</v>
      </c>
    </row>
    <row r="25" customFormat="false" ht="15" hidden="false" customHeight="true" outlineLevel="0" collapsed="false">
      <c r="A25" s="44" t="n">
        <v>24</v>
      </c>
      <c r="B25" s="44" t="s">
        <v>187</v>
      </c>
      <c r="C25" s="44" t="s">
        <v>62</v>
      </c>
      <c r="D25" s="44" t="n">
        <v>3</v>
      </c>
      <c r="E25" s="45" t="str">
        <f aca="false">Results!$I$12</f>
        <v>Sized</v>
      </c>
      <c r="F25" s="32" t="n">
        <f aca="false">Results!$G$12</f>
        <v>9070</v>
      </c>
      <c r="G25" s="46" t="n">
        <f aca="false">INDEX(Inputs!$C$5:$E$5,1,$D25)</f>
        <v>0.462</v>
      </c>
      <c r="H25" s="47" t="n">
        <f aca="false">INDEX(Inputs!$C$6:$E$6,1,$D25)</f>
        <v>230</v>
      </c>
      <c r="I25" s="48" t="n">
        <f aca="false">IF($E25="Pending","",F25*G25*H25/1000)</f>
        <v>963.7782</v>
      </c>
      <c r="J25" s="49" t="n">
        <f aca="false">INDEX(Inputs!$C$7:$E$7,1,$D25)</f>
        <v>922.3</v>
      </c>
      <c r="K25" s="48" t="n">
        <f aca="false">IF($E25="Pending","",I25*J25)</f>
        <v>888892.63386</v>
      </c>
      <c r="L25" s="50" t="n">
        <f aca="false">INDEX(Inputs!$C$8:$E$8,1,$D25)</f>
        <v>0.8</v>
      </c>
      <c r="M25" s="48" t="n">
        <f aca="false">IF($E25="Pending","",K25*L25)</f>
        <v>711114.107088</v>
      </c>
      <c r="N25" s="48" t="n">
        <f aca="false">IF($E25="Pending","",K25*(1-L25))</f>
        <v>177778.526772</v>
      </c>
      <c r="O25" s="51" t="n">
        <f aca="false">INDEX(Inputs!$C$9:$E$9,1,$D25)</f>
        <v>24.51</v>
      </c>
      <c r="P25" s="49" t="n">
        <f aca="false">INDEX(Inputs!$C$10:$E$10,1,$D25)</f>
        <v>4.1</v>
      </c>
      <c r="Q25" s="48" t="n">
        <f aca="false">IF($E25="Pending","",(M25*O25+N25*P25)/100)</f>
        <v>181582.987244921</v>
      </c>
      <c r="R25" s="49" t="n">
        <f aca="false">INDEX(Inputs!$C$12:$E$12,1,$D25)</f>
        <v>7.6</v>
      </c>
      <c r="S25" s="48" t="n">
        <f aca="false">IF($E25="Pending","",I25*R25)</f>
        <v>7324.71432</v>
      </c>
      <c r="T25" s="48" t="n">
        <f aca="false">IF($E25="Pending","",Q25-S25)</f>
        <v>174258.272924921</v>
      </c>
      <c r="U25" s="48" t="n">
        <f aca="false">INDEX(Inputs!$C$11:$E$11,1,$D25)</f>
        <v>700</v>
      </c>
      <c r="V25" s="48" t="n">
        <f aca="false">IF($E25="Pending","",I25*U25)</f>
        <v>674644.74</v>
      </c>
      <c r="W25" s="49" t="n">
        <f aca="false">IF($E25="Pending","",IF(T25&lt;=0,"No payback",V25/T25))</f>
        <v>3.87152201543206</v>
      </c>
      <c r="X25" s="52" t="n">
        <f aca="false">INDEX(Inputs!$C$13:$E$13,1,$D25)</f>
        <v>0.13096</v>
      </c>
      <c r="Y25" s="53" t="n">
        <f aca="false">IF($E25="Pending","",K25*X25/1000)</f>
        <v>116.409379330306</v>
      </c>
    </row>
    <row r="26" customFormat="false" ht="15" hidden="false" customHeight="true" outlineLevel="0" collapsed="false">
      <c r="A26" s="44" t="n">
        <v>28</v>
      </c>
      <c r="B26" s="44" t="s">
        <v>189</v>
      </c>
      <c r="C26" s="44" t="s">
        <v>60</v>
      </c>
      <c r="D26" s="44" t="n">
        <v>1</v>
      </c>
      <c r="E26" s="45" t="str">
        <f aca="false">Results!$I$13</f>
        <v>Sized</v>
      </c>
      <c r="F26" s="32" t="n">
        <f aca="false">Results!$G$13</f>
        <v>3900</v>
      </c>
      <c r="G26" s="46" t="n">
        <f aca="false">INDEX(Inputs!$C$5:$E$5,1,$D26)</f>
        <v>0.294</v>
      </c>
      <c r="H26" s="47" t="n">
        <f aca="false">INDEX(Inputs!$C$6:$E$6,1,$D26)</f>
        <v>230</v>
      </c>
      <c r="I26" s="48" t="n">
        <f aca="false">IF($E26="Pending","",F26*G26*H26/1000)</f>
        <v>263.718</v>
      </c>
      <c r="J26" s="49" t="n">
        <f aca="false">INDEX(Inputs!$C$7:$E$7,1,$D26)</f>
        <v>922.3</v>
      </c>
      <c r="K26" s="48" t="n">
        <f aca="false">IF($E26="Pending","",I26*J26)</f>
        <v>243227.1114</v>
      </c>
      <c r="L26" s="50" t="n">
        <f aca="false">INDEX(Inputs!$C$8:$E$8,1,$D26)</f>
        <v>0.4</v>
      </c>
      <c r="M26" s="48" t="n">
        <f aca="false">IF($E26="Pending","",K26*L26)</f>
        <v>97290.84456</v>
      </c>
      <c r="N26" s="48" t="n">
        <f aca="false">IF($E26="Pending","",K26*(1-L26))</f>
        <v>145936.26684</v>
      </c>
      <c r="O26" s="51" t="n">
        <f aca="false">INDEX(Inputs!$C$9:$E$9,1,$D26)</f>
        <v>24.51</v>
      </c>
      <c r="P26" s="49" t="n">
        <f aca="false">INDEX(Inputs!$C$10:$E$10,1,$D26)</f>
        <v>3</v>
      </c>
      <c r="Q26" s="48" t="n">
        <f aca="false">IF($E26="Pending","",(M26*O26+N26*P26)/100)</f>
        <v>28224.074006856</v>
      </c>
      <c r="R26" s="49" t="n">
        <f aca="false">INDEX(Inputs!$C$12:$E$12,1,$D26)</f>
        <v>11.4</v>
      </c>
      <c r="S26" s="48" t="n">
        <f aca="false">IF($E26="Pending","",I26*R26)</f>
        <v>3006.3852</v>
      </c>
      <c r="T26" s="48" t="n">
        <f aca="false">IF($E26="Pending","",Q26-S26)</f>
        <v>25217.688806856</v>
      </c>
      <c r="U26" s="48" t="n">
        <f aca="false">INDEX(Inputs!$C$11:$E$11,1,$D26)</f>
        <v>1100</v>
      </c>
      <c r="V26" s="48" t="n">
        <f aca="false">IF($E26="Pending","",I26*U26)</f>
        <v>290089.8</v>
      </c>
      <c r="W26" s="49" t="n">
        <f aca="false">IF($E26="Pending","",IF(T26&lt;=0,"No payback",V26/T26))</f>
        <v>11.50342532267</v>
      </c>
      <c r="X26" s="52" t="n">
        <f aca="false">INDEX(Inputs!$C$13:$E$13,1,$D26)</f>
        <v>0.13096</v>
      </c>
      <c r="Y26" s="53" t="n">
        <f aca="false">IF($E26="Pending","",K26*X26/1000)</f>
        <v>31.853022508944</v>
      </c>
    </row>
    <row r="27" customFormat="false" ht="15" hidden="false" customHeight="true" outlineLevel="0" collapsed="false">
      <c r="A27" s="54" t="n">
        <v>28</v>
      </c>
      <c r="B27" s="54" t="s">
        <v>189</v>
      </c>
      <c r="C27" s="54" t="s">
        <v>61</v>
      </c>
      <c r="D27" s="54" t="n">
        <v>2</v>
      </c>
      <c r="E27" s="55" t="str">
        <f aca="false">Results!$I$13</f>
        <v>Sized</v>
      </c>
      <c r="F27" s="33" t="n">
        <f aca="false">Results!$G$13</f>
        <v>3900</v>
      </c>
      <c r="G27" s="56" t="n">
        <f aca="false">INDEX(Inputs!$C$5:$E$5,1,$D27)</f>
        <v>0.4</v>
      </c>
      <c r="H27" s="57" t="n">
        <f aca="false">INDEX(Inputs!$C$6:$E$6,1,$D27)</f>
        <v>230</v>
      </c>
      <c r="I27" s="58" t="n">
        <f aca="false">IF($E27="Pending","",F27*G27*H27/1000)</f>
        <v>358.8</v>
      </c>
      <c r="J27" s="59" t="n">
        <f aca="false">INDEX(Inputs!$C$7:$E$7,1,$D27)</f>
        <v>922.3</v>
      </c>
      <c r="K27" s="58" t="n">
        <f aca="false">IF($E27="Pending","",I27*J27)</f>
        <v>330921.24</v>
      </c>
      <c r="L27" s="60" t="n">
        <f aca="false">INDEX(Inputs!$C$8:$E$8,1,$D27)</f>
        <v>0.6</v>
      </c>
      <c r="M27" s="58" t="n">
        <f aca="false">IF($E27="Pending","",K27*L27)</f>
        <v>198552.744</v>
      </c>
      <c r="N27" s="58" t="n">
        <f aca="false">IF($E27="Pending","",K27*(1-L27))</f>
        <v>132368.496</v>
      </c>
      <c r="O27" s="61" t="n">
        <f aca="false">INDEX(Inputs!$C$9:$E$9,1,$D27)</f>
        <v>24.51</v>
      </c>
      <c r="P27" s="59" t="n">
        <f aca="false">INDEX(Inputs!$C$10:$E$10,1,$D27)</f>
        <v>4.1</v>
      </c>
      <c r="Q27" s="58" t="n">
        <f aca="false">IF($E27="Pending","",(M27*O27+N27*P27)/100)</f>
        <v>54092.3858904</v>
      </c>
      <c r="R27" s="59" t="n">
        <f aca="false">INDEX(Inputs!$C$12:$E$12,1,$D27)</f>
        <v>9.5</v>
      </c>
      <c r="S27" s="58" t="n">
        <f aca="false">IF($E27="Pending","",I27*R27)</f>
        <v>3408.6</v>
      </c>
      <c r="T27" s="58" t="n">
        <f aca="false">IF($E27="Pending","",Q27-S27)</f>
        <v>50683.7858904</v>
      </c>
      <c r="U27" s="58" t="n">
        <f aca="false">INDEX(Inputs!$C$11:$E$11,1,$D27)</f>
        <v>900</v>
      </c>
      <c r="V27" s="58" t="n">
        <f aca="false">IF($E27="Pending","",I27*U27)</f>
        <v>322920</v>
      </c>
      <c r="W27" s="59" t="n">
        <f aca="false">IF($E27="Pending","",IF(T27&lt;=0,"No payback",V27/T27))</f>
        <v>6.37126833220965</v>
      </c>
      <c r="X27" s="62" t="n">
        <f aca="false">INDEX(Inputs!$C$13:$E$13,1,$D27)</f>
        <v>0.13096</v>
      </c>
      <c r="Y27" s="63" t="n">
        <f aca="false">IF($E27="Pending","",K27*X27/1000)</f>
        <v>43.3374455904</v>
      </c>
    </row>
    <row r="28" customFormat="false" ht="15" hidden="false" customHeight="true" outlineLevel="0" collapsed="false">
      <c r="A28" s="44" t="n">
        <v>28</v>
      </c>
      <c r="B28" s="44" t="s">
        <v>189</v>
      </c>
      <c r="C28" s="44" t="s">
        <v>62</v>
      </c>
      <c r="D28" s="44" t="n">
        <v>3</v>
      </c>
      <c r="E28" s="45" t="str">
        <f aca="false">Results!$I$13</f>
        <v>Sized</v>
      </c>
      <c r="F28" s="32" t="n">
        <f aca="false">Results!$G$13</f>
        <v>3900</v>
      </c>
      <c r="G28" s="46" t="n">
        <f aca="false">INDEX(Inputs!$C$5:$E$5,1,$D28)</f>
        <v>0.462</v>
      </c>
      <c r="H28" s="47" t="n">
        <f aca="false">INDEX(Inputs!$C$6:$E$6,1,$D28)</f>
        <v>230</v>
      </c>
      <c r="I28" s="48" t="n">
        <f aca="false">IF($E28="Pending","",F28*G28*H28/1000)</f>
        <v>414.414</v>
      </c>
      <c r="J28" s="49" t="n">
        <f aca="false">INDEX(Inputs!$C$7:$E$7,1,$D28)</f>
        <v>922.3</v>
      </c>
      <c r="K28" s="48" t="n">
        <f aca="false">IF($E28="Pending","",I28*J28)</f>
        <v>382214.0322</v>
      </c>
      <c r="L28" s="50" t="n">
        <f aca="false">INDEX(Inputs!$C$8:$E$8,1,$D28)</f>
        <v>0.8</v>
      </c>
      <c r="M28" s="48" t="n">
        <f aca="false">IF($E28="Pending","",K28*L28)</f>
        <v>305771.22576</v>
      </c>
      <c r="N28" s="48" t="n">
        <f aca="false">IF($E28="Pending","",K28*(1-L28))</f>
        <v>76442.80644</v>
      </c>
      <c r="O28" s="51" t="n">
        <f aca="false">INDEX(Inputs!$C$9:$E$9,1,$D28)</f>
        <v>24.51</v>
      </c>
      <c r="P28" s="49" t="n">
        <f aca="false">INDEX(Inputs!$C$10:$E$10,1,$D28)</f>
        <v>4.1</v>
      </c>
      <c r="Q28" s="48" t="n">
        <f aca="false">IF($E28="Pending","",(M28*O28+N28*P28)/100)</f>
        <v>78078.682497816</v>
      </c>
      <c r="R28" s="49" t="n">
        <f aca="false">INDEX(Inputs!$C$12:$E$12,1,$D28)</f>
        <v>7.6</v>
      </c>
      <c r="S28" s="48" t="n">
        <f aca="false">IF($E28="Pending","",I28*R28)</f>
        <v>3149.5464</v>
      </c>
      <c r="T28" s="48" t="n">
        <f aca="false">IF($E28="Pending","",Q28-S28)</f>
        <v>74929.136097816</v>
      </c>
      <c r="U28" s="48" t="n">
        <f aca="false">INDEX(Inputs!$C$11:$E$11,1,$D28)</f>
        <v>700</v>
      </c>
      <c r="V28" s="48" t="n">
        <f aca="false">IF($E28="Pending","",I28*U28)</f>
        <v>290089.8</v>
      </c>
      <c r="W28" s="49" t="n">
        <f aca="false">IF($E28="Pending","",IF(T28&lt;=0,"No payback",V28/T28))</f>
        <v>3.87152201543206</v>
      </c>
      <c r="X28" s="52" t="n">
        <f aca="false">INDEX(Inputs!$C$13:$E$13,1,$D28)</f>
        <v>0.13096</v>
      </c>
      <c r="Y28" s="53" t="n">
        <f aca="false">IF($E28="Pending","",K28*X28/1000)</f>
        <v>50.054749656912</v>
      </c>
    </row>
    <row r="29" customFormat="false" ht="15" hidden="false" customHeight="true" outlineLevel="0" collapsed="false">
      <c r="A29" s="44" t="n">
        <v>5</v>
      </c>
      <c r="B29" s="44" t="s">
        <v>191</v>
      </c>
      <c r="C29" s="44" t="s">
        <v>60</v>
      </c>
      <c r="D29" s="44" t="n">
        <v>1</v>
      </c>
      <c r="E29" s="45" t="str">
        <f aca="false">Results!$I$14</f>
        <v>Sized</v>
      </c>
      <c r="F29" s="32" t="n">
        <f aca="false">Results!$G$14</f>
        <v>3243</v>
      </c>
      <c r="G29" s="46" t="n">
        <f aca="false">INDEX(Inputs!$C$5:$E$5,1,$D29)</f>
        <v>0.294</v>
      </c>
      <c r="H29" s="47" t="n">
        <f aca="false">INDEX(Inputs!$C$6:$E$6,1,$D29)</f>
        <v>230</v>
      </c>
      <c r="I29" s="48" t="n">
        <f aca="false">IF($E29="Pending","",F29*G29*H29/1000)</f>
        <v>219.29166</v>
      </c>
      <c r="J29" s="49" t="n">
        <f aca="false">INDEX(Inputs!$C$7:$E$7,1,$D29)</f>
        <v>922.3</v>
      </c>
      <c r="K29" s="48" t="n">
        <f aca="false">IF($E29="Pending","",I29*J29)</f>
        <v>202252.698018</v>
      </c>
      <c r="L29" s="50" t="n">
        <f aca="false">INDEX(Inputs!$C$8:$E$8,1,$D29)</f>
        <v>0.4</v>
      </c>
      <c r="M29" s="48" t="n">
        <f aca="false">IF($E29="Pending","",K29*L29)</f>
        <v>80901.0792072</v>
      </c>
      <c r="N29" s="48" t="n">
        <f aca="false">IF($E29="Pending","",K29*(1-L29))</f>
        <v>121351.6188108</v>
      </c>
      <c r="O29" s="51" t="n">
        <f aca="false">INDEX(Inputs!$C$9:$E$9,1,$D29)</f>
        <v>24.51</v>
      </c>
      <c r="P29" s="49" t="n">
        <f aca="false">INDEX(Inputs!$C$10:$E$10,1,$D29)</f>
        <v>3</v>
      </c>
      <c r="Q29" s="48" t="n">
        <f aca="false">IF($E29="Pending","",(M29*O29+N29*P29)/100)</f>
        <v>23469.4030780087</v>
      </c>
      <c r="R29" s="49" t="n">
        <f aca="false">INDEX(Inputs!$C$12:$E$12,1,$D29)</f>
        <v>11.4</v>
      </c>
      <c r="S29" s="48" t="n">
        <f aca="false">IF($E29="Pending","",I29*R29)</f>
        <v>2499.924924</v>
      </c>
      <c r="T29" s="48" t="n">
        <f aca="false">IF($E29="Pending","",Q29-S29)</f>
        <v>20969.4781540087</v>
      </c>
      <c r="U29" s="48" t="n">
        <f aca="false">INDEX(Inputs!$C$11:$E$11,1,$D29)</f>
        <v>1100</v>
      </c>
      <c r="V29" s="48" t="n">
        <f aca="false">IF($E29="Pending","",I29*U29)</f>
        <v>241220.826</v>
      </c>
      <c r="W29" s="49" t="n">
        <f aca="false">IF($E29="Pending","",IF(T29&lt;=0,"No payback",V29/T29))</f>
        <v>11.50342532267</v>
      </c>
      <c r="X29" s="52" t="n">
        <f aca="false">INDEX(Inputs!$C$13:$E$13,1,$D29)</f>
        <v>0.13096</v>
      </c>
      <c r="Y29" s="53" t="n">
        <f aca="false">IF($E29="Pending","",K29*X29/1000)</f>
        <v>26.4870133324373</v>
      </c>
    </row>
    <row r="30" customFormat="false" ht="15" hidden="false" customHeight="true" outlineLevel="0" collapsed="false">
      <c r="A30" s="54" t="n">
        <v>5</v>
      </c>
      <c r="B30" s="54" t="s">
        <v>191</v>
      </c>
      <c r="C30" s="54" t="s">
        <v>61</v>
      </c>
      <c r="D30" s="54" t="n">
        <v>2</v>
      </c>
      <c r="E30" s="55" t="str">
        <f aca="false">Results!$I$14</f>
        <v>Sized</v>
      </c>
      <c r="F30" s="33" t="n">
        <f aca="false">Results!$G$14</f>
        <v>3243</v>
      </c>
      <c r="G30" s="56" t="n">
        <f aca="false">INDEX(Inputs!$C$5:$E$5,1,$D30)</f>
        <v>0.4</v>
      </c>
      <c r="H30" s="57" t="n">
        <f aca="false">INDEX(Inputs!$C$6:$E$6,1,$D30)</f>
        <v>230</v>
      </c>
      <c r="I30" s="58" t="n">
        <f aca="false">IF($E30="Pending","",F30*G30*H30/1000)</f>
        <v>298.356</v>
      </c>
      <c r="J30" s="59" t="n">
        <f aca="false">INDEX(Inputs!$C$7:$E$7,1,$D30)</f>
        <v>922.3</v>
      </c>
      <c r="K30" s="58" t="n">
        <f aca="false">IF($E30="Pending","",I30*J30)</f>
        <v>275173.7388</v>
      </c>
      <c r="L30" s="60" t="n">
        <f aca="false">INDEX(Inputs!$C$8:$E$8,1,$D30)</f>
        <v>0.6</v>
      </c>
      <c r="M30" s="58" t="n">
        <f aca="false">IF($E30="Pending","",K30*L30)</f>
        <v>165104.24328</v>
      </c>
      <c r="N30" s="58" t="n">
        <f aca="false">IF($E30="Pending","",K30*(1-L30))</f>
        <v>110069.49552</v>
      </c>
      <c r="O30" s="61" t="n">
        <f aca="false">INDEX(Inputs!$C$9:$E$9,1,$D30)</f>
        <v>24.51</v>
      </c>
      <c r="P30" s="59" t="n">
        <f aca="false">INDEX(Inputs!$C$10:$E$10,1,$D30)</f>
        <v>4.1</v>
      </c>
      <c r="Q30" s="58" t="n">
        <f aca="false">IF($E30="Pending","",(M30*O30+N30*P30)/100)</f>
        <v>44979.899344248</v>
      </c>
      <c r="R30" s="59" t="n">
        <f aca="false">INDEX(Inputs!$C$12:$E$12,1,$D30)</f>
        <v>9.5</v>
      </c>
      <c r="S30" s="58" t="n">
        <f aca="false">IF($E30="Pending","",I30*R30)</f>
        <v>2834.382</v>
      </c>
      <c r="T30" s="58" t="n">
        <f aca="false">IF($E30="Pending","",Q30-S30)</f>
        <v>42145.517344248</v>
      </c>
      <c r="U30" s="58" t="n">
        <f aca="false">INDEX(Inputs!$C$11:$E$11,1,$D30)</f>
        <v>900</v>
      </c>
      <c r="V30" s="58" t="n">
        <f aca="false">IF($E30="Pending","",I30*U30)</f>
        <v>268520.4</v>
      </c>
      <c r="W30" s="59" t="n">
        <f aca="false">IF($E30="Pending","",IF(T30&lt;=0,"No payback",V30/T30))</f>
        <v>6.37126833220965</v>
      </c>
      <c r="X30" s="62" t="n">
        <f aca="false">INDEX(Inputs!$C$13:$E$13,1,$D30)</f>
        <v>0.13096</v>
      </c>
      <c r="Y30" s="63" t="n">
        <f aca="false">IF($E30="Pending","",K30*X30/1000)</f>
        <v>36.036752833248</v>
      </c>
    </row>
    <row r="31" customFormat="false" ht="15" hidden="false" customHeight="true" outlineLevel="0" collapsed="false">
      <c r="A31" s="44" t="n">
        <v>5</v>
      </c>
      <c r="B31" s="44" t="s">
        <v>191</v>
      </c>
      <c r="C31" s="44" t="s">
        <v>62</v>
      </c>
      <c r="D31" s="44" t="n">
        <v>3</v>
      </c>
      <c r="E31" s="45" t="str">
        <f aca="false">Results!$I$14</f>
        <v>Sized</v>
      </c>
      <c r="F31" s="32" t="n">
        <f aca="false">Results!$G$14</f>
        <v>3243</v>
      </c>
      <c r="G31" s="46" t="n">
        <f aca="false">INDEX(Inputs!$C$5:$E$5,1,$D31)</f>
        <v>0.462</v>
      </c>
      <c r="H31" s="47" t="n">
        <f aca="false">INDEX(Inputs!$C$6:$E$6,1,$D31)</f>
        <v>230</v>
      </c>
      <c r="I31" s="48" t="n">
        <f aca="false">IF($E31="Pending","",F31*G31*H31/1000)</f>
        <v>344.60118</v>
      </c>
      <c r="J31" s="49" t="n">
        <f aca="false">INDEX(Inputs!$C$7:$E$7,1,$D31)</f>
        <v>922.3</v>
      </c>
      <c r="K31" s="48" t="n">
        <f aca="false">IF($E31="Pending","",I31*J31)</f>
        <v>317825.668314</v>
      </c>
      <c r="L31" s="50" t="n">
        <f aca="false">INDEX(Inputs!$C$8:$E$8,1,$D31)</f>
        <v>0.8</v>
      </c>
      <c r="M31" s="48" t="n">
        <f aca="false">IF($E31="Pending","",K31*L31)</f>
        <v>254260.5346512</v>
      </c>
      <c r="N31" s="48" t="n">
        <f aca="false">IF($E31="Pending","",K31*(1-L31))</f>
        <v>63565.1336628</v>
      </c>
      <c r="O31" s="51" t="n">
        <f aca="false">INDEX(Inputs!$C$9:$E$9,1,$D31)</f>
        <v>24.51</v>
      </c>
      <c r="P31" s="49" t="n">
        <f aca="false">INDEX(Inputs!$C$10:$E$10,1,$D31)</f>
        <v>4.1</v>
      </c>
      <c r="Q31" s="48" t="n">
        <f aca="false">IF($E31="Pending","",(M31*O31+N31*P31)/100)</f>
        <v>64925.4275231839</v>
      </c>
      <c r="R31" s="49" t="n">
        <f aca="false">INDEX(Inputs!$C$12:$E$12,1,$D31)</f>
        <v>7.6</v>
      </c>
      <c r="S31" s="48" t="n">
        <f aca="false">IF($E31="Pending","",I31*R31)</f>
        <v>2618.968968</v>
      </c>
      <c r="T31" s="48" t="n">
        <f aca="false">IF($E31="Pending","",Q31-S31)</f>
        <v>62306.4585551839</v>
      </c>
      <c r="U31" s="48" t="n">
        <f aca="false">INDEX(Inputs!$C$11:$E$11,1,$D31)</f>
        <v>700</v>
      </c>
      <c r="V31" s="48" t="n">
        <f aca="false">IF($E31="Pending","",I31*U31)</f>
        <v>241220.826</v>
      </c>
      <c r="W31" s="49" t="n">
        <f aca="false">IF($E31="Pending","",IF(T31&lt;=0,"No payback",V31/T31))</f>
        <v>3.87152201543206</v>
      </c>
      <c r="X31" s="52" t="n">
        <f aca="false">INDEX(Inputs!$C$13:$E$13,1,$D31)</f>
        <v>0.13096</v>
      </c>
      <c r="Y31" s="53" t="n">
        <f aca="false">IF($E31="Pending","",K31*X31/1000)</f>
        <v>41.6224495224014</v>
      </c>
    </row>
    <row r="32" customFormat="false" ht="15" hidden="false" customHeight="true" outlineLevel="0" collapsed="false">
      <c r="A32" s="44" t="n">
        <v>7</v>
      </c>
      <c r="B32" s="44" t="s">
        <v>192</v>
      </c>
      <c r="C32" s="44" t="s">
        <v>60</v>
      </c>
      <c r="D32" s="44" t="n">
        <v>1</v>
      </c>
      <c r="E32" s="45" t="str">
        <f aca="false">Results!$I$15</f>
        <v>Sized</v>
      </c>
      <c r="F32" s="32" t="n">
        <f aca="false">Results!$G$15</f>
        <v>2784</v>
      </c>
      <c r="G32" s="46" t="n">
        <f aca="false">INDEX(Inputs!$C$5:$E$5,1,$D32)</f>
        <v>0.294</v>
      </c>
      <c r="H32" s="47" t="n">
        <f aca="false">INDEX(Inputs!$C$6:$E$6,1,$D32)</f>
        <v>230</v>
      </c>
      <c r="I32" s="48" t="n">
        <f aca="false">IF($E32="Pending","",F32*G32*H32/1000)</f>
        <v>188.25408</v>
      </c>
      <c r="J32" s="49" t="n">
        <f aca="false">INDEX(Inputs!$C$7:$E$7,1,$D32)</f>
        <v>922.3</v>
      </c>
      <c r="K32" s="48" t="n">
        <f aca="false">IF($E32="Pending","",I32*J32)</f>
        <v>173626.737984</v>
      </c>
      <c r="L32" s="50" t="n">
        <f aca="false">INDEX(Inputs!$C$8:$E$8,1,$D32)</f>
        <v>0.4</v>
      </c>
      <c r="M32" s="48" t="n">
        <f aca="false">IF($E32="Pending","",K32*L32)</f>
        <v>69450.6951936</v>
      </c>
      <c r="N32" s="48" t="n">
        <f aca="false">IF($E32="Pending","",K32*(1-L32))</f>
        <v>104176.0427904</v>
      </c>
      <c r="O32" s="51" t="n">
        <f aca="false">INDEX(Inputs!$C$9:$E$9,1,$D32)</f>
        <v>24.51</v>
      </c>
      <c r="P32" s="49" t="n">
        <f aca="false">INDEX(Inputs!$C$10:$E$10,1,$D32)</f>
        <v>3</v>
      </c>
      <c r="Q32" s="48" t="n">
        <f aca="false">IF($E32="Pending","",(M32*O32+N32*P32)/100)</f>
        <v>20147.6466756634</v>
      </c>
      <c r="R32" s="49" t="n">
        <f aca="false">INDEX(Inputs!$C$12:$E$12,1,$D32)</f>
        <v>11.4</v>
      </c>
      <c r="S32" s="48" t="n">
        <f aca="false">IF($E32="Pending","",I32*R32)</f>
        <v>2146.096512</v>
      </c>
      <c r="T32" s="48" t="n">
        <f aca="false">IF($E32="Pending","",Q32-S32)</f>
        <v>18001.5501636634</v>
      </c>
      <c r="U32" s="48" t="n">
        <f aca="false">INDEX(Inputs!$C$11:$E$11,1,$D32)</f>
        <v>1100</v>
      </c>
      <c r="V32" s="48" t="n">
        <f aca="false">IF($E32="Pending","",I32*U32)</f>
        <v>207079.488</v>
      </c>
      <c r="W32" s="49" t="n">
        <f aca="false">IF($E32="Pending","",IF(T32&lt;=0,"No payback",V32/T32))</f>
        <v>11.50342532267</v>
      </c>
      <c r="X32" s="52" t="n">
        <f aca="false">INDEX(Inputs!$C$13:$E$13,1,$D32)</f>
        <v>0.13096</v>
      </c>
      <c r="Y32" s="53" t="n">
        <f aca="false">IF($E32="Pending","",K32*X32/1000)</f>
        <v>22.7381576063846</v>
      </c>
    </row>
    <row r="33" customFormat="false" ht="15" hidden="false" customHeight="true" outlineLevel="0" collapsed="false">
      <c r="A33" s="54" t="n">
        <v>7</v>
      </c>
      <c r="B33" s="54" t="s">
        <v>192</v>
      </c>
      <c r="C33" s="54" t="s">
        <v>61</v>
      </c>
      <c r="D33" s="54" t="n">
        <v>2</v>
      </c>
      <c r="E33" s="55" t="str">
        <f aca="false">Results!$I$15</f>
        <v>Sized</v>
      </c>
      <c r="F33" s="33" t="n">
        <f aca="false">Results!$G$15</f>
        <v>2784</v>
      </c>
      <c r="G33" s="56" t="n">
        <f aca="false">INDEX(Inputs!$C$5:$E$5,1,$D33)</f>
        <v>0.4</v>
      </c>
      <c r="H33" s="57" t="n">
        <f aca="false">INDEX(Inputs!$C$6:$E$6,1,$D33)</f>
        <v>230</v>
      </c>
      <c r="I33" s="58" t="n">
        <f aca="false">IF($E33="Pending","",F33*G33*H33/1000)</f>
        <v>256.128</v>
      </c>
      <c r="J33" s="59" t="n">
        <f aca="false">INDEX(Inputs!$C$7:$E$7,1,$D33)</f>
        <v>922.3</v>
      </c>
      <c r="K33" s="58" t="n">
        <f aca="false">IF($E33="Pending","",I33*J33)</f>
        <v>236226.8544</v>
      </c>
      <c r="L33" s="60" t="n">
        <f aca="false">INDEX(Inputs!$C$8:$E$8,1,$D33)</f>
        <v>0.6</v>
      </c>
      <c r="M33" s="58" t="n">
        <f aca="false">IF($E33="Pending","",K33*L33)</f>
        <v>141736.11264</v>
      </c>
      <c r="N33" s="58" t="n">
        <f aca="false">IF($E33="Pending","",K33*(1-L33))</f>
        <v>94490.74176</v>
      </c>
      <c r="O33" s="61" t="n">
        <f aca="false">INDEX(Inputs!$C$9:$E$9,1,$D33)</f>
        <v>24.51</v>
      </c>
      <c r="P33" s="59" t="n">
        <f aca="false">INDEX(Inputs!$C$10:$E$10,1,$D33)</f>
        <v>4.1</v>
      </c>
      <c r="Q33" s="58" t="n">
        <f aca="false">IF($E33="Pending","",(M33*O33+N33*P33)/100)</f>
        <v>38613.641620224</v>
      </c>
      <c r="R33" s="59" t="n">
        <f aca="false">INDEX(Inputs!$C$12:$E$12,1,$D33)</f>
        <v>9.5</v>
      </c>
      <c r="S33" s="58" t="n">
        <f aca="false">IF($E33="Pending","",I33*R33)</f>
        <v>2433.216</v>
      </c>
      <c r="T33" s="58" t="n">
        <f aca="false">IF($E33="Pending","",Q33-S33)</f>
        <v>36180.425620224</v>
      </c>
      <c r="U33" s="58" t="n">
        <f aca="false">INDEX(Inputs!$C$11:$E$11,1,$D33)</f>
        <v>900</v>
      </c>
      <c r="V33" s="58" t="n">
        <f aca="false">IF($E33="Pending","",I33*U33)</f>
        <v>230515.2</v>
      </c>
      <c r="W33" s="59" t="n">
        <f aca="false">IF($E33="Pending","",IF(T33&lt;=0,"No payback",V33/T33))</f>
        <v>6.37126833220966</v>
      </c>
      <c r="X33" s="62" t="n">
        <f aca="false">INDEX(Inputs!$C$13:$E$13,1,$D33)</f>
        <v>0.13096</v>
      </c>
      <c r="Y33" s="63" t="n">
        <f aca="false">IF($E33="Pending","",K33*X33/1000)</f>
        <v>30.936268852224</v>
      </c>
    </row>
    <row r="34" customFormat="false" ht="15" hidden="false" customHeight="true" outlineLevel="0" collapsed="false">
      <c r="A34" s="44" t="n">
        <v>7</v>
      </c>
      <c r="B34" s="44" t="s">
        <v>192</v>
      </c>
      <c r="C34" s="44" t="s">
        <v>62</v>
      </c>
      <c r="D34" s="44" t="n">
        <v>3</v>
      </c>
      <c r="E34" s="45" t="str">
        <f aca="false">Results!$I$15</f>
        <v>Sized</v>
      </c>
      <c r="F34" s="32" t="n">
        <f aca="false">Results!$G$15</f>
        <v>2784</v>
      </c>
      <c r="G34" s="46" t="n">
        <f aca="false">INDEX(Inputs!$C$5:$E$5,1,$D34)</f>
        <v>0.462</v>
      </c>
      <c r="H34" s="47" t="n">
        <f aca="false">INDEX(Inputs!$C$6:$E$6,1,$D34)</f>
        <v>230</v>
      </c>
      <c r="I34" s="48" t="n">
        <f aca="false">IF($E34="Pending","",F34*G34*H34/1000)</f>
        <v>295.82784</v>
      </c>
      <c r="J34" s="49" t="n">
        <f aca="false">INDEX(Inputs!$C$7:$E$7,1,$D34)</f>
        <v>922.3</v>
      </c>
      <c r="K34" s="48" t="n">
        <f aca="false">IF($E34="Pending","",I34*J34)</f>
        <v>272842.016832</v>
      </c>
      <c r="L34" s="50" t="n">
        <f aca="false">INDEX(Inputs!$C$8:$E$8,1,$D34)</f>
        <v>0.8</v>
      </c>
      <c r="M34" s="48" t="n">
        <f aca="false">IF($E34="Pending","",K34*L34)</f>
        <v>218273.6134656</v>
      </c>
      <c r="N34" s="48" t="n">
        <f aca="false">IF($E34="Pending","",K34*(1-L34))</f>
        <v>54568.4033664</v>
      </c>
      <c r="O34" s="51" t="n">
        <f aca="false">INDEX(Inputs!$C$9:$E$9,1,$D34)</f>
        <v>24.51</v>
      </c>
      <c r="P34" s="49" t="n">
        <f aca="false">INDEX(Inputs!$C$10:$E$10,1,$D34)</f>
        <v>4.1</v>
      </c>
      <c r="Q34" s="48" t="n">
        <f aca="false">IF($E34="Pending","",(M34*O34+N34*P34)/100)</f>
        <v>55736.167198441</v>
      </c>
      <c r="R34" s="49" t="n">
        <f aca="false">INDEX(Inputs!$C$12:$E$12,1,$D34)</f>
        <v>7.6</v>
      </c>
      <c r="S34" s="48" t="n">
        <f aca="false">IF($E34="Pending","",I34*R34)</f>
        <v>2248.291584</v>
      </c>
      <c r="T34" s="48" t="n">
        <f aca="false">IF($E34="Pending","",Q34-S34)</f>
        <v>53487.875614441</v>
      </c>
      <c r="U34" s="48" t="n">
        <f aca="false">INDEX(Inputs!$C$11:$E$11,1,$D34)</f>
        <v>700</v>
      </c>
      <c r="V34" s="48" t="n">
        <f aca="false">IF($E34="Pending","",I34*U34)</f>
        <v>207079.488</v>
      </c>
      <c r="W34" s="49" t="n">
        <f aca="false">IF($E34="Pending","",IF(T34&lt;=0,"No payback",V34/T34))</f>
        <v>3.87152201543206</v>
      </c>
      <c r="X34" s="52" t="n">
        <f aca="false">INDEX(Inputs!$C$13:$E$13,1,$D34)</f>
        <v>0.13096</v>
      </c>
      <c r="Y34" s="53" t="n">
        <f aca="false">IF($E34="Pending","",K34*X34/1000)</f>
        <v>35.7313905243187</v>
      </c>
    </row>
    <row r="35" customFormat="false" ht="15" hidden="false" customHeight="true" outlineLevel="0" collapsed="false">
      <c r="A35" s="44" t="n">
        <v>21</v>
      </c>
      <c r="B35" s="44" t="s">
        <v>194</v>
      </c>
      <c r="C35" s="44" t="s">
        <v>60</v>
      </c>
      <c r="D35" s="44" t="n">
        <v>1</v>
      </c>
      <c r="E35" s="45" t="str">
        <f aca="false">Results!$I$16</f>
        <v>Sized</v>
      </c>
      <c r="F35" s="32" t="n">
        <f aca="false">Results!$G$16</f>
        <v>2613</v>
      </c>
      <c r="G35" s="46" t="n">
        <f aca="false">INDEX(Inputs!$C$5:$E$5,1,$D35)</f>
        <v>0.294</v>
      </c>
      <c r="H35" s="47" t="n">
        <f aca="false">INDEX(Inputs!$C$6:$E$6,1,$D35)</f>
        <v>230</v>
      </c>
      <c r="I35" s="48" t="n">
        <f aca="false">IF($E35="Pending","",F35*G35*H35/1000)</f>
        <v>176.69106</v>
      </c>
      <c r="J35" s="49" t="n">
        <f aca="false">INDEX(Inputs!$C$7:$E$7,1,$D35)</f>
        <v>922.3</v>
      </c>
      <c r="K35" s="48" t="n">
        <f aca="false">IF($E35="Pending","",I35*J35)</f>
        <v>162962.164638</v>
      </c>
      <c r="L35" s="50" t="n">
        <f aca="false">INDEX(Inputs!$C$8:$E$8,1,$D35)</f>
        <v>0.4</v>
      </c>
      <c r="M35" s="48" t="n">
        <f aca="false">IF($E35="Pending","",K35*L35)</f>
        <v>65184.8658552</v>
      </c>
      <c r="N35" s="48" t="n">
        <f aca="false">IF($E35="Pending","",K35*(1-L35))</f>
        <v>97777.2987828</v>
      </c>
      <c r="O35" s="51" t="n">
        <f aca="false">INDEX(Inputs!$C$9:$E$9,1,$D35)</f>
        <v>24.51</v>
      </c>
      <c r="P35" s="49" t="n">
        <f aca="false">INDEX(Inputs!$C$10:$E$10,1,$D35)</f>
        <v>3</v>
      </c>
      <c r="Q35" s="48" t="n">
        <f aca="false">IF($E35="Pending","",(M35*O35+N35*P35)/100)</f>
        <v>18910.1295845935</v>
      </c>
      <c r="R35" s="49" t="n">
        <f aca="false">INDEX(Inputs!$C$12:$E$12,1,$D35)</f>
        <v>11.4</v>
      </c>
      <c r="S35" s="48" t="n">
        <f aca="false">IF($E35="Pending","",I35*R35)</f>
        <v>2014.278084</v>
      </c>
      <c r="T35" s="48" t="n">
        <f aca="false">IF($E35="Pending","",Q35-S35)</f>
        <v>16895.8515005935</v>
      </c>
      <c r="U35" s="48" t="n">
        <f aca="false">INDEX(Inputs!$C$11:$E$11,1,$D35)</f>
        <v>1100</v>
      </c>
      <c r="V35" s="48" t="n">
        <f aca="false">IF($E35="Pending","",I35*U35)</f>
        <v>194360.166</v>
      </c>
      <c r="W35" s="49" t="n">
        <f aca="false">IF($E35="Pending","",IF(T35&lt;=0,"No payback",V35/T35))</f>
        <v>11.50342532267</v>
      </c>
      <c r="X35" s="52" t="n">
        <f aca="false">INDEX(Inputs!$C$13:$E$13,1,$D35)</f>
        <v>0.13096</v>
      </c>
      <c r="Y35" s="53" t="n">
        <f aca="false">IF($E35="Pending","",K35*X35/1000)</f>
        <v>21.3415250809925</v>
      </c>
    </row>
    <row r="36" customFormat="false" ht="15" hidden="false" customHeight="true" outlineLevel="0" collapsed="false">
      <c r="A36" s="54" t="n">
        <v>21</v>
      </c>
      <c r="B36" s="54" t="s">
        <v>194</v>
      </c>
      <c r="C36" s="54" t="s">
        <v>61</v>
      </c>
      <c r="D36" s="54" t="n">
        <v>2</v>
      </c>
      <c r="E36" s="55" t="str">
        <f aca="false">Results!$I$16</f>
        <v>Sized</v>
      </c>
      <c r="F36" s="33" t="n">
        <f aca="false">Results!$G$16</f>
        <v>2613</v>
      </c>
      <c r="G36" s="56" t="n">
        <f aca="false">INDEX(Inputs!$C$5:$E$5,1,$D36)</f>
        <v>0.4</v>
      </c>
      <c r="H36" s="57" t="n">
        <f aca="false">INDEX(Inputs!$C$6:$E$6,1,$D36)</f>
        <v>230</v>
      </c>
      <c r="I36" s="58" t="n">
        <f aca="false">IF($E36="Pending","",F36*G36*H36/1000)</f>
        <v>240.396</v>
      </c>
      <c r="J36" s="59" t="n">
        <f aca="false">INDEX(Inputs!$C$7:$E$7,1,$D36)</f>
        <v>922.3</v>
      </c>
      <c r="K36" s="58" t="n">
        <f aca="false">IF($E36="Pending","",I36*J36)</f>
        <v>221717.2308</v>
      </c>
      <c r="L36" s="60" t="n">
        <f aca="false">INDEX(Inputs!$C$8:$E$8,1,$D36)</f>
        <v>0.6</v>
      </c>
      <c r="M36" s="58" t="n">
        <f aca="false">IF($E36="Pending","",K36*L36)</f>
        <v>133030.33848</v>
      </c>
      <c r="N36" s="58" t="n">
        <f aca="false">IF($E36="Pending","",K36*(1-L36))</f>
        <v>88686.89232</v>
      </c>
      <c r="O36" s="61" t="n">
        <f aca="false">INDEX(Inputs!$C$9:$E$9,1,$D36)</f>
        <v>24.51</v>
      </c>
      <c r="P36" s="59" t="n">
        <f aca="false">INDEX(Inputs!$C$10:$E$10,1,$D36)</f>
        <v>4.1</v>
      </c>
      <c r="Q36" s="58" t="n">
        <f aca="false">IF($E36="Pending","",(M36*O36+N36*P36)/100)</f>
        <v>36241.898546568</v>
      </c>
      <c r="R36" s="59" t="n">
        <f aca="false">INDEX(Inputs!$C$12:$E$12,1,$D36)</f>
        <v>9.5</v>
      </c>
      <c r="S36" s="58" t="n">
        <f aca="false">IF($E36="Pending","",I36*R36)</f>
        <v>2283.762</v>
      </c>
      <c r="T36" s="58" t="n">
        <f aca="false">IF($E36="Pending","",Q36-S36)</f>
        <v>33958.136546568</v>
      </c>
      <c r="U36" s="58" t="n">
        <f aca="false">INDEX(Inputs!$C$11:$E$11,1,$D36)</f>
        <v>900</v>
      </c>
      <c r="V36" s="58" t="n">
        <f aca="false">IF($E36="Pending","",I36*U36)</f>
        <v>216356.4</v>
      </c>
      <c r="W36" s="59" t="n">
        <f aca="false">IF($E36="Pending","",IF(T36&lt;=0,"No payback",V36/T36))</f>
        <v>6.37126833220966</v>
      </c>
      <c r="X36" s="62" t="n">
        <f aca="false">INDEX(Inputs!$C$13:$E$13,1,$D36)</f>
        <v>0.13096</v>
      </c>
      <c r="Y36" s="63" t="n">
        <f aca="false">IF($E36="Pending","",K36*X36/1000)</f>
        <v>29.036088545568</v>
      </c>
    </row>
    <row r="37" customFormat="false" ht="15" hidden="false" customHeight="true" outlineLevel="0" collapsed="false">
      <c r="A37" s="44" t="n">
        <v>21</v>
      </c>
      <c r="B37" s="44" t="s">
        <v>194</v>
      </c>
      <c r="C37" s="44" t="s">
        <v>62</v>
      </c>
      <c r="D37" s="44" t="n">
        <v>3</v>
      </c>
      <c r="E37" s="45" t="str">
        <f aca="false">Results!$I$16</f>
        <v>Sized</v>
      </c>
      <c r="F37" s="32" t="n">
        <f aca="false">Results!$G$16</f>
        <v>2613</v>
      </c>
      <c r="G37" s="46" t="n">
        <f aca="false">INDEX(Inputs!$C$5:$E$5,1,$D37)</f>
        <v>0.462</v>
      </c>
      <c r="H37" s="47" t="n">
        <f aca="false">INDEX(Inputs!$C$6:$E$6,1,$D37)</f>
        <v>230</v>
      </c>
      <c r="I37" s="48" t="n">
        <f aca="false">IF($E37="Pending","",F37*G37*H37/1000)</f>
        <v>277.65738</v>
      </c>
      <c r="J37" s="49" t="n">
        <f aca="false">INDEX(Inputs!$C$7:$E$7,1,$D37)</f>
        <v>922.3</v>
      </c>
      <c r="K37" s="48" t="n">
        <f aca="false">IF($E37="Pending","",I37*J37)</f>
        <v>256083.401574</v>
      </c>
      <c r="L37" s="50" t="n">
        <f aca="false">INDEX(Inputs!$C$8:$E$8,1,$D37)</f>
        <v>0.8</v>
      </c>
      <c r="M37" s="48" t="n">
        <f aca="false">IF($E37="Pending","",K37*L37)</f>
        <v>204866.7212592</v>
      </c>
      <c r="N37" s="48" t="n">
        <f aca="false">IF($E37="Pending","",K37*(1-L37))</f>
        <v>51216.6803148</v>
      </c>
      <c r="O37" s="51" t="n">
        <f aca="false">INDEX(Inputs!$C$9:$E$9,1,$D37)</f>
        <v>24.51</v>
      </c>
      <c r="P37" s="49" t="n">
        <f aca="false">INDEX(Inputs!$C$10:$E$10,1,$D37)</f>
        <v>4.1</v>
      </c>
      <c r="Q37" s="48" t="n">
        <f aca="false">IF($E37="Pending","",(M37*O37+N37*P37)/100)</f>
        <v>52312.7172735367</v>
      </c>
      <c r="R37" s="49" t="n">
        <f aca="false">INDEX(Inputs!$C$12:$E$12,1,$D37)</f>
        <v>7.6</v>
      </c>
      <c r="S37" s="48" t="n">
        <f aca="false">IF($E37="Pending","",I37*R37)</f>
        <v>2110.196088</v>
      </c>
      <c r="T37" s="48" t="n">
        <f aca="false">IF($E37="Pending","",Q37-S37)</f>
        <v>50202.5211855367</v>
      </c>
      <c r="U37" s="48" t="n">
        <f aca="false">INDEX(Inputs!$C$11:$E$11,1,$D37)</f>
        <v>700</v>
      </c>
      <c r="V37" s="48" t="n">
        <f aca="false">IF($E37="Pending","",I37*U37)</f>
        <v>194360.166</v>
      </c>
      <c r="W37" s="49" t="n">
        <f aca="false">IF($E37="Pending","",IF(T37&lt;=0,"No payback",V37/T37))</f>
        <v>3.87152201543206</v>
      </c>
      <c r="X37" s="52" t="n">
        <f aca="false">INDEX(Inputs!$C$13:$E$13,1,$D37)</f>
        <v>0.13096</v>
      </c>
      <c r="Y37" s="53" t="n">
        <f aca="false">IF($E37="Pending","",K37*X37/1000)</f>
        <v>33.536682270131</v>
      </c>
    </row>
    <row r="38" customFormat="false" ht="15" hidden="false" customHeight="true" outlineLevel="0" collapsed="false">
      <c r="A38" s="44" t="n">
        <v>30</v>
      </c>
      <c r="B38" s="44" t="s">
        <v>195</v>
      </c>
      <c r="C38" s="44" t="s">
        <v>60</v>
      </c>
      <c r="D38" s="44" t="n">
        <v>1</v>
      </c>
      <c r="E38" s="45" t="str">
        <f aca="false">Results!$I$17</f>
        <v>Sized</v>
      </c>
      <c r="F38" s="32" t="n">
        <f aca="false">Results!$G$17</f>
        <v>3558</v>
      </c>
      <c r="G38" s="46" t="n">
        <f aca="false">INDEX(Inputs!$C$5:$E$5,1,$D38)</f>
        <v>0.294</v>
      </c>
      <c r="H38" s="47" t="n">
        <f aca="false">INDEX(Inputs!$C$6:$E$6,1,$D38)</f>
        <v>230</v>
      </c>
      <c r="I38" s="48" t="n">
        <f aca="false">IF($E38="Pending","",F38*G38*H38/1000)</f>
        <v>240.59196</v>
      </c>
      <c r="J38" s="49" t="n">
        <f aca="false">INDEX(Inputs!$C$7:$E$7,1,$D38)</f>
        <v>922.3</v>
      </c>
      <c r="K38" s="48" t="n">
        <f aca="false">IF($E38="Pending","",I38*J38)</f>
        <v>221897.964708</v>
      </c>
      <c r="L38" s="50" t="n">
        <f aca="false">INDEX(Inputs!$C$8:$E$8,1,$D38)</f>
        <v>0.4</v>
      </c>
      <c r="M38" s="48" t="n">
        <f aca="false">IF($E38="Pending","",K38*L38)</f>
        <v>88759.1858832</v>
      </c>
      <c r="N38" s="48" t="n">
        <f aca="false">IF($E38="Pending","",K38*(1-L38))</f>
        <v>133138.7788248</v>
      </c>
      <c r="O38" s="51" t="n">
        <f aca="false">INDEX(Inputs!$C$9:$E$9,1,$D38)</f>
        <v>24.51</v>
      </c>
      <c r="P38" s="49" t="n">
        <f aca="false">INDEX(Inputs!$C$10:$E$10,1,$D38)</f>
        <v>3</v>
      </c>
      <c r="Q38" s="48" t="n">
        <f aca="false">IF($E38="Pending","",(M38*O38+N38*P38)/100)</f>
        <v>25749.0398247163</v>
      </c>
      <c r="R38" s="49" t="n">
        <f aca="false">INDEX(Inputs!$C$12:$E$12,1,$D38)</f>
        <v>11.4</v>
      </c>
      <c r="S38" s="48" t="n">
        <f aca="false">IF($E38="Pending","",I38*R38)</f>
        <v>2742.748344</v>
      </c>
      <c r="T38" s="48" t="n">
        <f aca="false">IF($E38="Pending","",Q38-S38)</f>
        <v>23006.2914807163</v>
      </c>
      <c r="U38" s="48" t="n">
        <f aca="false">INDEX(Inputs!$C$11:$E$11,1,$D38)</f>
        <v>1100</v>
      </c>
      <c r="V38" s="48" t="n">
        <f aca="false">IF($E38="Pending","",I38*U38)</f>
        <v>264651.156</v>
      </c>
      <c r="W38" s="49" t="n">
        <f aca="false">IF($E38="Pending","",IF(T38&lt;=0,"No payback",V38/T38))</f>
        <v>11.50342532267</v>
      </c>
      <c r="X38" s="52" t="n">
        <f aca="false">INDEX(Inputs!$C$13:$E$13,1,$D38)</f>
        <v>0.13096</v>
      </c>
      <c r="Y38" s="53" t="n">
        <f aca="false">IF($E38="Pending","",K38*X38/1000)</f>
        <v>29.0597574581597</v>
      </c>
    </row>
    <row r="39" customFormat="false" ht="15" hidden="false" customHeight="true" outlineLevel="0" collapsed="false">
      <c r="A39" s="54" t="n">
        <v>30</v>
      </c>
      <c r="B39" s="54" t="s">
        <v>195</v>
      </c>
      <c r="C39" s="54" t="s">
        <v>61</v>
      </c>
      <c r="D39" s="54" t="n">
        <v>2</v>
      </c>
      <c r="E39" s="55" t="str">
        <f aca="false">Results!$I$17</f>
        <v>Sized</v>
      </c>
      <c r="F39" s="33" t="n">
        <f aca="false">Results!$G$17</f>
        <v>3558</v>
      </c>
      <c r="G39" s="56" t="n">
        <f aca="false">INDEX(Inputs!$C$5:$E$5,1,$D39)</f>
        <v>0.4</v>
      </c>
      <c r="H39" s="57" t="n">
        <f aca="false">INDEX(Inputs!$C$6:$E$6,1,$D39)</f>
        <v>230</v>
      </c>
      <c r="I39" s="58" t="n">
        <f aca="false">IF($E39="Pending","",F39*G39*H39/1000)</f>
        <v>327.336</v>
      </c>
      <c r="J39" s="59" t="n">
        <f aca="false">INDEX(Inputs!$C$7:$E$7,1,$D39)</f>
        <v>922.3</v>
      </c>
      <c r="K39" s="58" t="n">
        <f aca="false">IF($E39="Pending","",I39*J39)</f>
        <v>301901.9928</v>
      </c>
      <c r="L39" s="60" t="n">
        <f aca="false">INDEX(Inputs!$C$8:$E$8,1,$D39)</f>
        <v>0.6</v>
      </c>
      <c r="M39" s="58" t="n">
        <f aca="false">IF($E39="Pending","",K39*L39)</f>
        <v>181141.19568</v>
      </c>
      <c r="N39" s="58" t="n">
        <f aca="false">IF($E39="Pending","",K39*(1-L39))</f>
        <v>120760.79712</v>
      </c>
      <c r="O39" s="61" t="n">
        <f aca="false">INDEX(Inputs!$C$9:$E$9,1,$D39)</f>
        <v>24.51</v>
      </c>
      <c r="P39" s="59" t="n">
        <f aca="false">INDEX(Inputs!$C$10:$E$10,1,$D39)</f>
        <v>4.1</v>
      </c>
      <c r="Q39" s="58" t="n">
        <f aca="false">IF($E39="Pending","",(M39*O39+N39*P39)/100)</f>
        <v>49348.899743088</v>
      </c>
      <c r="R39" s="59" t="n">
        <f aca="false">INDEX(Inputs!$C$12:$E$12,1,$D39)</f>
        <v>9.5</v>
      </c>
      <c r="S39" s="58" t="n">
        <f aca="false">IF($E39="Pending","",I39*R39)</f>
        <v>3109.692</v>
      </c>
      <c r="T39" s="58" t="n">
        <f aca="false">IF($E39="Pending","",Q39-S39)</f>
        <v>46239.207743088</v>
      </c>
      <c r="U39" s="58" t="n">
        <f aca="false">INDEX(Inputs!$C$11:$E$11,1,$D39)</f>
        <v>900</v>
      </c>
      <c r="V39" s="58" t="n">
        <f aca="false">IF($E39="Pending","",I39*U39)</f>
        <v>294602.4</v>
      </c>
      <c r="W39" s="59" t="n">
        <f aca="false">IF($E39="Pending","",IF(T39&lt;=0,"No payback",V39/T39))</f>
        <v>6.37126833220966</v>
      </c>
      <c r="X39" s="62" t="n">
        <f aca="false">INDEX(Inputs!$C$13:$E$13,1,$D39)</f>
        <v>0.13096</v>
      </c>
      <c r="Y39" s="63" t="n">
        <f aca="false">IF($E39="Pending","",K39*X39/1000)</f>
        <v>39.537084977088</v>
      </c>
    </row>
    <row r="40" customFormat="false" ht="15" hidden="false" customHeight="true" outlineLevel="0" collapsed="false">
      <c r="A40" s="44" t="n">
        <v>30</v>
      </c>
      <c r="B40" s="44" t="s">
        <v>195</v>
      </c>
      <c r="C40" s="44" t="s">
        <v>62</v>
      </c>
      <c r="D40" s="44" t="n">
        <v>3</v>
      </c>
      <c r="E40" s="45" t="str">
        <f aca="false">Results!$I$17</f>
        <v>Sized</v>
      </c>
      <c r="F40" s="32" t="n">
        <f aca="false">Results!$G$17</f>
        <v>3558</v>
      </c>
      <c r="G40" s="46" t="n">
        <f aca="false">INDEX(Inputs!$C$5:$E$5,1,$D40)</f>
        <v>0.462</v>
      </c>
      <c r="H40" s="47" t="n">
        <f aca="false">INDEX(Inputs!$C$6:$E$6,1,$D40)</f>
        <v>230</v>
      </c>
      <c r="I40" s="48" t="n">
        <f aca="false">IF($E40="Pending","",F40*G40*H40/1000)</f>
        <v>378.07308</v>
      </c>
      <c r="J40" s="49" t="n">
        <f aca="false">INDEX(Inputs!$C$7:$E$7,1,$D40)</f>
        <v>922.3</v>
      </c>
      <c r="K40" s="48" t="n">
        <f aca="false">IF($E40="Pending","",I40*J40)</f>
        <v>348696.801684</v>
      </c>
      <c r="L40" s="50" t="n">
        <f aca="false">INDEX(Inputs!$C$8:$E$8,1,$D40)</f>
        <v>0.8</v>
      </c>
      <c r="M40" s="48" t="n">
        <f aca="false">IF($E40="Pending","",K40*L40)</f>
        <v>278957.4413472</v>
      </c>
      <c r="N40" s="48" t="n">
        <f aca="false">IF($E40="Pending","",K40*(1-L40))</f>
        <v>69739.3603368</v>
      </c>
      <c r="O40" s="51" t="n">
        <f aca="false">INDEX(Inputs!$C$9:$E$9,1,$D40)</f>
        <v>24.51</v>
      </c>
      <c r="P40" s="49" t="n">
        <f aca="false">INDEX(Inputs!$C$10:$E$10,1,$D40)</f>
        <v>4.1</v>
      </c>
      <c r="Q40" s="48" t="n">
        <f aca="false">IF($E40="Pending","",(M40*O40+N40*P40)/100)</f>
        <v>71231.7826480075</v>
      </c>
      <c r="R40" s="49" t="n">
        <f aca="false">INDEX(Inputs!$C$12:$E$12,1,$D40)</f>
        <v>7.6</v>
      </c>
      <c r="S40" s="48" t="n">
        <f aca="false">IF($E40="Pending","",I40*R40)</f>
        <v>2873.355408</v>
      </c>
      <c r="T40" s="48" t="n">
        <f aca="false">IF($E40="Pending","",Q40-S40)</f>
        <v>68358.4272400075</v>
      </c>
      <c r="U40" s="48" t="n">
        <f aca="false">INDEX(Inputs!$C$11:$E$11,1,$D40)</f>
        <v>700</v>
      </c>
      <c r="V40" s="48" t="n">
        <f aca="false">IF($E40="Pending","",I40*U40)</f>
        <v>264651.156</v>
      </c>
      <c r="W40" s="49" t="n">
        <f aca="false">IF($E40="Pending","",IF(T40&lt;=0,"No payback",V40/T40))</f>
        <v>3.87152201543206</v>
      </c>
      <c r="X40" s="52" t="n">
        <f aca="false">INDEX(Inputs!$C$13:$E$13,1,$D40)</f>
        <v>0.13096</v>
      </c>
      <c r="Y40" s="53" t="n">
        <f aca="false">IF($E40="Pending","",K40*X40/1000)</f>
        <v>45.6653331485366</v>
      </c>
    </row>
    <row r="41" customFormat="false" ht="15" hidden="false" customHeight="true" outlineLevel="0" collapsed="false">
      <c r="A41" s="44" t="n">
        <v>44</v>
      </c>
      <c r="B41" s="44" t="s">
        <v>197</v>
      </c>
      <c r="C41" s="44" t="s">
        <v>60</v>
      </c>
      <c r="D41" s="44" t="n">
        <v>1</v>
      </c>
      <c r="E41" s="45" t="str">
        <f aca="false">Results!$I$18</f>
        <v>Sized</v>
      </c>
      <c r="F41" s="32" t="n">
        <f aca="false">Results!$G$18</f>
        <v>1897</v>
      </c>
      <c r="G41" s="46" t="n">
        <f aca="false">INDEX(Inputs!$C$5:$E$5,1,$D41)</f>
        <v>0.294</v>
      </c>
      <c r="H41" s="47" t="n">
        <f aca="false">INDEX(Inputs!$C$6:$E$6,1,$D41)</f>
        <v>230</v>
      </c>
      <c r="I41" s="48" t="n">
        <f aca="false">IF($E41="Pending","",F41*G41*H41/1000)</f>
        <v>128.27514</v>
      </c>
      <c r="J41" s="49" t="n">
        <f aca="false">INDEX(Inputs!$C$7:$E$7,1,$D41)</f>
        <v>922.3</v>
      </c>
      <c r="K41" s="48" t="n">
        <f aca="false">IF($E41="Pending","",I41*J41)</f>
        <v>118308.161622</v>
      </c>
      <c r="L41" s="50" t="n">
        <f aca="false">INDEX(Inputs!$C$8:$E$8,1,$D41)</f>
        <v>0.4</v>
      </c>
      <c r="M41" s="48" t="n">
        <f aca="false">IF($E41="Pending","",K41*L41)</f>
        <v>47323.2646488</v>
      </c>
      <c r="N41" s="48" t="n">
        <f aca="false">IF($E41="Pending","",K41*(1-L41))</f>
        <v>70984.8969732</v>
      </c>
      <c r="O41" s="51" t="n">
        <f aca="false">INDEX(Inputs!$C$9:$E$9,1,$D41)</f>
        <v>24.51</v>
      </c>
      <c r="P41" s="49" t="n">
        <f aca="false">INDEX(Inputs!$C$10:$E$10,1,$D41)</f>
        <v>3</v>
      </c>
      <c r="Q41" s="48" t="n">
        <f aca="false">IF($E41="Pending","",(M41*O41+N41*P41)/100)</f>
        <v>13728.4790746169</v>
      </c>
      <c r="R41" s="49" t="n">
        <f aca="false">INDEX(Inputs!$C$12:$E$12,1,$D41)</f>
        <v>11.4</v>
      </c>
      <c r="S41" s="48" t="n">
        <f aca="false">IF($E41="Pending","",I41*R41)</f>
        <v>1462.336596</v>
      </c>
      <c r="T41" s="48" t="n">
        <f aca="false">IF($E41="Pending","",Q41-S41)</f>
        <v>12266.1424786169</v>
      </c>
      <c r="U41" s="48" t="n">
        <f aca="false">INDEX(Inputs!$C$11:$E$11,1,$D41)</f>
        <v>1100</v>
      </c>
      <c r="V41" s="48" t="n">
        <f aca="false">IF($E41="Pending","",I41*U41)</f>
        <v>141102.654</v>
      </c>
      <c r="W41" s="49" t="n">
        <f aca="false">IF($E41="Pending","",IF(T41&lt;=0,"No payback",V41/T41))</f>
        <v>11.50342532267</v>
      </c>
      <c r="X41" s="52" t="n">
        <f aca="false">INDEX(Inputs!$C$13:$E$13,1,$D41)</f>
        <v>0.13096</v>
      </c>
      <c r="Y41" s="53" t="n">
        <f aca="false">IF($E41="Pending","",K41*X41/1000)</f>
        <v>15.4936368460171</v>
      </c>
    </row>
    <row r="42" customFormat="false" ht="15" hidden="false" customHeight="true" outlineLevel="0" collapsed="false">
      <c r="A42" s="54" t="n">
        <v>44</v>
      </c>
      <c r="B42" s="54" t="s">
        <v>197</v>
      </c>
      <c r="C42" s="54" t="s">
        <v>61</v>
      </c>
      <c r="D42" s="54" t="n">
        <v>2</v>
      </c>
      <c r="E42" s="55" t="str">
        <f aca="false">Results!$I$18</f>
        <v>Sized</v>
      </c>
      <c r="F42" s="33" t="n">
        <f aca="false">Results!$G$18</f>
        <v>1897</v>
      </c>
      <c r="G42" s="56" t="n">
        <f aca="false">INDEX(Inputs!$C$5:$E$5,1,$D42)</f>
        <v>0.4</v>
      </c>
      <c r="H42" s="57" t="n">
        <f aca="false">INDEX(Inputs!$C$6:$E$6,1,$D42)</f>
        <v>230</v>
      </c>
      <c r="I42" s="58" t="n">
        <f aca="false">IF($E42="Pending","",F42*G42*H42/1000)</f>
        <v>174.524</v>
      </c>
      <c r="J42" s="59" t="n">
        <f aca="false">INDEX(Inputs!$C$7:$E$7,1,$D42)</f>
        <v>922.3</v>
      </c>
      <c r="K42" s="58" t="n">
        <f aca="false">IF($E42="Pending","",I42*J42)</f>
        <v>160963.4852</v>
      </c>
      <c r="L42" s="60" t="n">
        <f aca="false">INDEX(Inputs!$C$8:$E$8,1,$D42)</f>
        <v>0.6</v>
      </c>
      <c r="M42" s="58" t="n">
        <f aca="false">IF($E42="Pending","",K42*L42)</f>
        <v>96578.09112</v>
      </c>
      <c r="N42" s="58" t="n">
        <f aca="false">IF($E42="Pending","",K42*(1-L42))</f>
        <v>64385.39408</v>
      </c>
      <c r="O42" s="61" t="n">
        <f aca="false">INDEX(Inputs!$C$9:$E$9,1,$D42)</f>
        <v>24.51</v>
      </c>
      <c r="P42" s="59" t="n">
        <f aca="false">INDEX(Inputs!$C$10:$E$10,1,$D42)</f>
        <v>4.1</v>
      </c>
      <c r="Q42" s="58" t="n">
        <f aca="false">IF($E42="Pending","",(M42*O42+N42*P42)/100)</f>
        <v>26311.091290792</v>
      </c>
      <c r="R42" s="59" t="n">
        <f aca="false">INDEX(Inputs!$C$12:$E$12,1,$D42)</f>
        <v>9.5</v>
      </c>
      <c r="S42" s="58" t="n">
        <f aca="false">IF($E42="Pending","",I42*R42)</f>
        <v>1657.978</v>
      </c>
      <c r="T42" s="58" t="n">
        <f aca="false">IF($E42="Pending","",Q42-S42)</f>
        <v>24653.113290792</v>
      </c>
      <c r="U42" s="58" t="n">
        <f aca="false">INDEX(Inputs!$C$11:$E$11,1,$D42)</f>
        <v>900</v>
      </c>
      <c r="V42" s="58" t="n">
        <f aca="false">IF($E42="Pending","",I42*U42)</f>
        <v>157071.6</v>
      </c>
      <c r="W42" s="59" t="n">
        <f aca="false">IF($E42="Pending","",IF(T42&lt;=0,"No payback",V42/T42))</f>
        <v>6.37126833220965</v>
      </c>
      <c r="X42" s="62" t="n">
        <f aca="false">INDEX(Inputs!$C$13:$E$13,1,$D42)</f>
        <v>0.13096</v>
      </c>
      <c r="Y42" s="63" t="n">
        <f aca="false">IF($E42="Pending","",K42*X42/1000)</f>
        <v>21.079778021792</v>
      </c>
    </row>
    <row r="43" customFormat="false" ht="15" hidden="false" customHeight="true" outlineLevel="0" collapsed="false">
      <c r="A43" s="44" t="n">
        <v>44</v>
      </c>
      <c r="B43" s="44" t="s">
        <v>197</v>
      </c>
      <c r="C43" s="44" t="s">
        <v>62</v>
      </c>
      <c r="D43" s="44" t="n">
        <v>3</v>
      </c>
      <c r="E43" s="45" t="str">
        <f aca="false">Results!$I$18</f>
        <v>Sized</v>
      </c>
      <c r="F43" s="32" t="n">
        <f aca="false">Results!$G$18</f>
        <v>1897</v>
      </c>
      <c r="G43" s="46" t="n">
        <f aca="false">INDEX(Inputs!$C$5:$E$5,1,$D43)</f>
        <v>0.462</v>
      </c>
      <c r="H43" s="47" t="n">
        <f aca="false">INDEX(Inputs!$C$6:$E$6,1,$D43)</f>
        <v>230</v>
      </c>
      <c r="I43" s="48" t="n">
        <f aca="false">IF($E43="Pending","",F43*G43*H43/1000)</f>
        <v>201.57522</v>
      </c>
      <c r="J43" s="49" t="n">
        <f aca="false">INDEX(Inputs!$C$7:$E$7,1,$D43)</f>
        <v>922.3</v>
      </c>
      <c r="K43" s="48" t="n">
        <f aca="false">IF($E43="Pending","",I43*J43)</f>
        <v>185912.825406</v>
      </c>
      <c r="L43" s="50" t="n">
        <f aca="false">INDEX(Inputs!$C$8:$E$8,1,$D43)</f>
        <v>0.8</v>
      </c>
      <c r="M43" s="48" t="n">
        <f aca="false">IF($E43="Pending","",K43*L43)</f>
        <v>148730.2603248</v>
      </c>
      <c r="N43" s="48" t="n">
        <f aca="false">IF($E43="Pending","",K43*(1-L43))</f>
        <v>37182.5650812</v>
      </c>
      <c r="O43" s="51" t="n">
        <f aca="false">INDEX(Inputs!$C$9:$E$9,1,$D43)</f>
        <v>24.51</v>
      </c>
      <c r="P43" s="49" t="n">
        <f aca="false">INDEX(Inputs!$C$10:$E$10,1,$D43)</f>
        <v>4.1</v>
      </c>
      <c r="Q43" s="48" t="n">
        <f aca="false">IF($E43="Pending","",(M43*O43+N43*P43)/100)</f>
        <v>37978.2719739377</v>
      </c>
      <c r="R43" s="49" t="n">
        <f aca="false">INDEX(Inputs!$C$12:$E$12,1,$D43)</f>
        <v>7.6</v>
      </c>
      <c r="S43" s="48" t="n">
        <f aca="false">IF($E43="Pending","",I43*R43)</f>
        <v>1531.971672</v>
      </c>
      <c r="T43" s="48" t="n">
        <f aca="false">IF($E43="Pending","",Q43-S43)</f>
        <v>36446.3003019377</v>
      </c>
      <c r="U43" s="48" t="n">
        <f aca="false">INDEX(Inputs!$C$11:$E$11,1,$D43)</f>
        <v>700</v>
      </c>
      <c r="V43" s="48" t="n">
        <f aca="false">IF($E43="Pending","",I43*U43)</f>
        <v>141102.654</v>
      </c>
      <c r="W43" s="49" t="n">
        <f aca="false">IF($E43="Pending","",IF(T43&lt;=0,"No payback",V43/T43))</f>
        <v>3.87152201543206</v>
      </c>
      <c r="X43" s="52" t="n">
        <f aca="false">INDEX(Inputs!$C$13:$E$13,1,$D43)</f>
        <v>0.13096</v>
      </c>
      <c r="Y43" s="53" t="n">
        <f aca="false">IF($E43="Pending","",K43*X43/1000)</f>
        <v>24.3471436151698</v>
      </c>
    </row>
    <row r="44" customFormat="false" ht="15" hidden="false" customHeight="true" outlineLevel="0" collapsed="false">
      <c r="A44" s="44" t="n">
        <v>39</v>
      </c>
      <c r="B44" s="44" t="s">
        <v>199</v>
      </c>
      <c r="C44" s="44" t="s">
        <v>60</v>
      </c>
      <c r="D44" s="44" t="n">
        <v>1</v>
      </c>
      <c r="E44" s="45" t="str">
        <f aca="false">Results!$I$19</f>
        <v>Sized</v>
      </c>
      <c r="F44" s="32" t="n">
        <f aca="false">Results!$G$19</f>
        <v>1652</v>
      </c>
      <c r="G44" s="46" t="n">
        <f aca="false">INDEX(Inputs!$C$5:$E$5,1,$D44)</f>
        <v>0.294</v>
      </c>
      <c r="H44" s="47" t="n">
        <f aca="false">INDEX(Inputs!$C$6:$E$6,1,$D44)</f>
        <v>230</v>
      </c>
      <c r="I44" s="48" t="n">
        <f aca="false">IF($E44="Pending","",F44*G44*H44/1000)</f>
        <v>111.70824</v>
      </c>
      <c r="J44" s="49" t="n">
        <f aca="false">INDEX(Inputs!$C$7:$E$7,1,$D44)</f>
        <v>922.3</v>
      </c>
      <c r="K44" s="48" t="n">
        <f aca="false">IF($E44="Pending","",I44*J44)</f>
        <v>103028.509752</v>
      </c>
      <c r="L44" s="50" t="n">
        <f aca="false">INDEX(Inputs!$C$8:$E$8,1,$D44)</f>
        <v>0.4</v>
      </c>
      <c r="M44" s="48" t="n">
        <f aca="false">IF($E44="Pending","",K44*L44)</f>
        <v>41211.4039008</v>
      </c>
      <c r="N44" s="48" t="n">
        <f aca="false">IF($E44="Pending","",K44*(1-L44))</f>
        <v>61817.1058512</v>
      </c>
      <c r="O44" s="51" t="n">
        <f aca="false">INDEX(Inputs!$C$9:$E$9,1,$D44)</f>
        <v>24.51</v>
      </c>
      <c r="P44" s="49" t="n">
        <f aca="false">INDEX(Inputs!$C$10:$E$10,1,$D44)</f>
        <v>3</v>
      </c>
      <c r="Q44" s="48" t="n">
        <f aca="false">IF($E44="Pending","",(M44*O44+N44*P44)/100)</f>
        <v>11955.4282716221</v>
      </c>
      <c r="R44" s="49" t="n">
        <f aca="false">INDEX(Inputs!$C$12:$E$12,1,$D44)</f>
        <v>11.4</v>
      </c>
      <c r="S44" s="48" t="n">
        <f aca="false">IF($E44="Pending","",I44*R44)</f>
        <v>1273.473936</v>
      </c>
      <c r="T44" s="48" t="n">
        <f aca="false">IF($E44="Pending","",Q44-S44)</f>
        <v>10681.9543356221</v>
      </c>
      <c r="U44" s="48" t="n">
        <f aca="false">INDEX(Inputs!$C$11:$E$11,1,$D44)</f>
        <v>1100</v>
      </c>
      <c r="V44" s="48" t="n">
        <f aca="false">IF($E44="Pending","",I44*U44)</f>
        <v>122879.064</v>
      </c>
      <c r="W44" s="49" t="n">
        <f aca="false">IF($E44="Pending","",IF(T44&lt;=0,"No payback",V44/T44))</f>
        <v>11.50342532267</v>
      </c>
      <c r="X44" s="52" t="n">
        <f aca="false">INDEX(Inputs!$C$13:$E$13,1,$D44)</f>
        <v>0.13096</v>
      </c>
      <c r="Y44" s="53" t="n">
        <f aca="false">IF($E44="Pending","",K44*X44/1000)</f>
        <v>13.4926136371219</v>
      </c>
    </row>
    <row r="45" customFormat="false" ht="15" hidden="false" customHeight="true" outlineLevel="0" collapsed="false">
      <c r="A45" s="54" t="n">
        <v>39</v>
      </c>
      <c r="B45" s="54" t="s">
        <v>199</v>
      </c>
      <c r="C45" s="54" t="s">
        <v>61</v>
      </c>
      <c r="D45" s="54" t="n">
        <v>2</v>
      </c>
      <c r="E45" s="55" t="str">
        <f aca="false">Results!$I$19</f>
        <v>Sized</v>
      </c>
      <c r="F45" s="33" t="n">
        <f aca="false">Results!$G$19</f>
        <v>1652</v>
      </c>
      <c r="G45" s="56" t="n">
        <f aca="false">INDEX(Inputs!$C$5:$E$5,1,$D45)</f>
        <v>0.4</v>
      </c>
      <c r="H45" s="57" t="n">
        <f aca="false">INDEX(Inputs!$C$6:$E$6,1,$D45)</f>
        <v>230</v>
      </c>
      <c r="I45" s="58" t="n">
        <f aca="false">IF($E45="Pending","",F45*G45*H45/1000)</f>
        <v>151.984</v>
      </c>
      <c r="J45" s="59" t="n">
        <f aca="false">INDEX(Inputs!$C$7:$E$7,1,$D45)</f>
        <v>922.3</v>
      </c>
      <c r="K45" s="58" t="n">
        <f aca="false">IF($E45="Pending","",I45*J45)</f>
        <v>140174.8432</v>
      </c>
      <c r="L45" s="60" t="n">
        <f aca="false">INDEX(Inputs!$C$8:$E$8,1,$D45)</f>
        <v>0.6</v>
      </c>
      <c r="M45" s="58" t="n">
        <f aca="false">IF($E45="Pending","",K45*L45)</f>
        <v>84104.90592</v>
      </c>
      <c r="N45" s="58" t="n">
        <f aca="false">IF($E45="Pending","",K45*(1-L45))</f>
        <v>56069.93728</v>
      </c>
      <c r="O45" s="61" t="n">
        <f aca="false">INDEX(Inputs!$C$9:$E$9,1,$D45)</f>
        <v>24.51</v>
      </c>
      <c r="P45" s="59" t="n">
        <f aca="false">INDEX(Inputs!$C$10:$E$10,1,$D45)</f>
        <v>4.1</v>
      </c>
      <c r="Q45" s="58" t="n">
        <f aca="false">IF($E45="Pending","",(M45*O45+N45*P45)/100)</f>
        <v>22912.979869472</v>
      </c>
      <c r="R45" s="59" t="n">
        <f aca="false">INDEX(Inputs!$C$12:$E$12,1,$D45)</f>
        <v>9.5</v>
      </c>
      <c r="S45" s="58" t="n">
        <f aca="false">IF($E45="Pending","",I45*R45)</f>
        <v>1443.848</v>
      </c>
      <c r="T45" s="58" t="n">
        <f aca="false">IF($E45="Pending","",Q45-S45)</f>
        <v>21469.131869472</v>
      </c>
      <c r="U45" s="58" t="n">
        <f aca="false">INDEX(Inputs!$C$11:$E$11,1,$D45)</f>
        <v>900</v>
      </c>
      <c r="V45" s="58" t="n">
        <f aca="false">IF($E45="Pending","",I45*U45)</f>
        <v>136785.6</v>
      </c>
      <c r="W45" s="59" t="n">
        <f aca="false">IF($E45="Pending","",IF(T45&lt;=0,"No payback",V45/T45))</f>
        <v>6.37126833220965</v>
      </c>
      <c r="X45" s="62" t="n">
        <f aca="false">INDEX(Inputs!$C$13:$E$13,1,$D45)</f>
        <v>0.13096</v>
      </c>
      <c r="Y45" s="63" t="n">
        <f aca="false">IF($E45="Pending","",K45*X45/1000)</f>
        <v>18.357297465472</v>
      </c>
    </row>
    <row r="46" customFormat="false" ht="15" hidden="false" customHeight="true" outlineLevel="0" collapsed="false">
      <c r="A46" s="44" t="n">
        <v>39</v>
      </c>
      <c r="B46" s="44" t="s">
        <v>199</v>
      </c>
      <c r="C46" s="44" t="s">
        <v>62</v>
      </c>
      <c r="D46" s="44" t="n">
        <v>3</v>
      </c>
      <c r="E46" s="45" t="str">
        <f aca="false">Results!$I$19</f>
        <v>Sized</v>
      </c>
      <c r="F46" s="32" t="n">
        <f aca="false">Results!$G$19</f>
        <v>1652</v>
      </c>
      <c r="G46" s="46" t="n">
        <f aca="false">INDEX(Inputs!$C$5:$E$5,1,$D46)</f>
        <v>0.462</v>
      </c>
      <c r="H46" s="47" t="n">
        <f aca="false">INDEX(Inputs!$C$6:$E$6,1,$D46)</f>
        <v>230</v>
      </c>
      <c r="I46" s="48" t="n">
        <f aca="false">IF($E46="Pending","",F46*G46*H46/1000)</f>
        <v>175.54152</v>
      </c>
      <c r="J46" s="49" t="n">
        <f aca="false">INDEX(Inputs!$C$7:$E$7,1,$D46)</f>
        <v>922.3</v>
      </c>
      <c r="K46" s="48" t="n">
        <f aca="false">IF($E46="Pending","",I46*J46)</f>
        <v>161901.943896</v>
      </c>
      <c r="L46" s="50" t="n">
        <f aca="false">INDEX(Inputs!$C$8:$E$8,1,$D46)</f>
        <v>0.8</v>
      </c>
      <c r="M46" s="48" t="n">
        <f aca="false">IF($E46="Pending","",K46*L46)</f>
        <v>129521.5551168</v>
      </c>
      <c r="N46" s="48" t="n">
        <f aca="false">IF($E46="Pending","",K46*(1-L46))</f>
        <v>32380.3887792</v>
      </c>
      <c r="O46" s="51" t="n">
        <f aca="false">INDEX(Inputs!$C$9:$E$9,1,$D46)</f>
        <v>24.51</v>
      </c>
      <c r="P46" s="49" t="n">
        <f aca="false">INDEX(Inputs!$C$10:$E$10,1,$D46)</f>
        <v>4.1</v>
      </c>
      <c r="Q46" s="48" t="n">
        <f aca="false">IF($E46="Pending","",(M46*O46+N46*P46)/100)</f>
        <v>33073.3290990749</v>
      </c>
      <c r="R46" s="49" t="n">
        <f aca="false">INDEX(Inputs!$C$12:$E$12,1,$D46)</f>
        <v>7.6</v>
      </c>
      <c r="S46" s="48" t="n">
        <f aca="false">IF($E46="Pending","",I46*R46)</f>
        <v>1334.115552</v>
      </c>
      <c r="T46" s="48" t="n">
        <f aca="false">IF($E46="Pending","",Q46-S46)</f>
        <v>31739.2135470749</v>
      </c>
      <c r="U46" s="48" t="n">
        <f aca="false">INDEX(Inputs!$C$11:$E$11,1,$D46)</f>
        <v>700</v>
      </c>
      <c r="V46" s="48" t="n">
        <f aca="false">IF($E46="Pending","",I46*U46)</f>
        <v>122879.064</v>
      </c>
      <c r="W46" s="49" t="n">
        <f aca="false">IF($E46="Pending","",IF(T46&lt;=0,"No payback",V46/T46))</f>
        <v>3.87152201543206</v>
      </c>
      <c r="X46" s="52" t="n">
        <f aca="false">INDEX(Inputs!$C$13:$E$13,1,$D46)</f>
        <v>0.13096</v>
      </c>
      <c r="Y46" s="53" t="n">
        <f aca="false">IF($E46="Pending","",K46*X46/1000)</f>
        <v>21.2026785726202</v>
      </c>
    </row>
    <row r="47" customFormat="false" ht="15" hidden="false" customHeight="true" outlineLevel="0" collapsed="false">
      <c r="A47" s="44" t="n">
        <v>40</v>
      </c>
      <c r="B47" s="44" t="s">
        <v>200</v>
      </c>
      <c r="C47" s="44" t="s">
        <v>60</v>
      </c>
      <c r="D47" s="44" t="n">
        <v>1</v>
      </c>
      <c r="E47" s="45" t="str">
        <f aca="false">Results!$I$20</f>
        <v>Sized</v>
      </c>
      <c r="F47" s="32" t="n">
        <f aca="false">Results!$G$20</f>
        <v>2351</v>
      </c>
      <c r="G47" s="46" t="n">
        <f aca="false">INDEX(Inputs!$C$5:$E$5,1,$D47)</f>
        <v>0.294</v>
      </c>
      <c r="H47" s="47" t="n">
        <f aca="false">INDEX(Inputs!$C$6:$E$6,1,$D47)</f>
        <v>230</v>
      </c>
      <c r="I47" s="48" t="n">
        <f aca="false">IF($E47="Pending","",F47*G47*H47/1000)</f>
        <v>158.97462</v>
      </c>
      <c r="J47" s="49" t="n">
        <f aca="false">INDEX(Inputs!$C$7:$E$7,1,$D47)</f>
        <v>922.3</v>
      </c>
      <c r="K47" s="48" t="n">
        <f aca="false">IF($E47="Pending","",I47*J47)</f>
        <v>146622.292026</v>
      </c>
      <c r="L47" s="50" t="n">
        <f aca="false">INDEX(Inputs!$C$8:$E$8,1,$D47)</f>
        <v>0.4</v>
      </c>
      <c r="M47" s="48" t="n">
        <f aca="false">IF($E47="Pending","",K47*L47)</f>
        <v>58648.9168104</v>
      </c>
      <c r="N47" s="48" t="n">
        <f aca="false">IF($E47="Pending","",K47*(1-L47))</f>
        <v>87973.3752156</v>
      </c>
      <c r="O47" s="51" t="n">
        <f aca="false">INDEX(Inputs!$C$9:$E$9,1,$D47)</f>
        <v>24.51</v>
      </c>
      <c r="P47" s="49" t="n">
        <f aca="false">INDEX(Inputs!$C$10:$E$10,1,$D47)</f>
        <v>3</v>
      </c>
      <c r="Q47" s="48" t="n">
        <f aca="false">IF($E47="Pending","",(M47*O47+N47*P47)/100)</f>
        <v>17014.050766697</v>
      </c>
      <c r="R47" s="49" t="n">
        <f aca="false">INDEX(Inputs!$C$12:$E$12,1,$D47)</f>
        <v>11.4</v>
      </c>
      <c r="S47" s="48" t="n">
        <f aca="false">IF($E47="Pending","",I47*R47)</f>
        <v>1812.310668</v>
      </c>
      <c r="T47" s="48" t="n">
        <f aca="false">IF($E47="Pending","",Q47-S47)</f>
        <v>15201.740098697</v>
      </c>
      <c r="U47" s="48" t="n">
        <f aca="false">INDEX(Inputs!$C$11:$E$11,1,$D47)</f>
        <v>1100</v>
      </c>
      <c r="V47" s="48" t="n">
        <f aca="false">IF($E47="Pending","",I47*U47)</f>
        <v>174872.082</v>
      </c>
      <c r="W47" s="49" t="n">
        <f aca="false">IF($E47="Pending","",IF(T47&lt;=0,"No payback",V47/T47))</f>
        <v>11.50342532267</v>
      </c>
      <c r="X47" s="52" t="n">
        <f aca="false">INDEX(Inputs!$C$13:$E$13,1,$D47)</f>
        <v>0.13096</v>
      </c>
      <c r="Y47" s="53" t="n">
        <f aca="false">IF($E47="Pending","",K47*X47/1000)</f>
        <v>19.201655363725</v>
      </c>
    </row>
    <row r="48" customFormat="false" ht="15" hidden="false" customHeight="true" outlineLevel="0" collapsed="false">
      <c r="A48" s="54" t="n">
        <v>40</v>
      </c>
      <c r="B48" s="54" t="s">
        <v>200</v>
      </c>
      <c r="C48" s="54" t="s">
        <v>61</v>
      </c>
      <c r="D48" s="54" t="n">
        <v>2</v>
      </c>
      <c r="E48" s="55" t="str">
        <f aca="false">Results!$I$20</f>
        <v>Sized</v>
      </c>
      <c r="F48" s="33" t="n">
        <f aca="false">Results!$G$20</f>
        <v>2351</v>
      </c>
      <c r="G48" s="56" t="n">
        <f aca="false">INDEX(Inputs!$C$5:$E$5,1,$D48)</f>
        <v>0.4</v>
      </c>
      <c r="H48" s="57" t="n">
        <f aca="false">INDEX(Inputs!$C$6:$E$6,1,$D48)</f>
        <v>230</v>
      </c>
      <c r="I48" s="58" t="n">
        <f aca="false">IF($E48="Pending","",F48*G48*H48/1000)</f>
        <v>216.292</v>
      </c>
      <c r="J48" s="59" t="n">
        <f aca="false">INDEX(Inputs!$C$7:$E$7,1,$D48)</f>
        <v>922.3</v>
      </c>
      <c r="K48" s="58" t="n">
        <f aca="false">IF($E48="Pending","",I48*J48)</f>
        <v>199486.1116</v>
      </c>
      <c r="L48" s="60" t="n">
        <f aca="false">INDEX(Inputs!$C$8:$E$8,1,$D48)</f>
        <v>0.6</v>
      </c>
      <c r="M48" s="58" t="n">
        <f aca="false">IF($E48="Pending","",K48*L48)</f>
        <v>119691.66696</v>
      </c>
      <c r="N48" s="58" t="n">
        <f aca="false">IF($E48="Pending","",K48*(1-L48))</f>
        <v>79794.44464</v>
      </c>
      <c r="O48" s="61" t="n">
        <f aca="false">INDEX(Inputs!$C$9:$E$9,1,$D48)</f>
        <v>24.51</v>
      </c>
      <c r="P48" s="59" t="n">
        <f aca="false">INDEX(Inputs!$C$10:$E$10,1,$D48)</f>
        <v>4.1</v>
      </c>
      <c r="Q48" s="58" t="n">
        <f aca="false">IF($E48="Pending","",(M48*O48+N48*P48)/100)</f>
        <v>32607.999802136</v>
      </c>
      <c r="R48" s="59" t="n">
        <f aca="false">INDEX(Inputs!$C$12:$E$12,1,$D48)</f>
        <v>9.5</v>
      </c>
      <c r="S48" s="58" t="n">
        <f aca="false">IF($E48="Pending","",I48*R48)</f>
        <v>2054.774</v>
      </c>
      <c r="T48" s="58" t="n">
        <f aca="false">IF($E48="Pending","",Q48-S48)</f>
        <v>30553.225802136</v>
      </c>
      <c r="U48" s="58" t="n">
        <f aca="false">INDEX(Inputs!$C$11:$E$11,1,$D48)</f>
        <v>900</v>
      </c>
      <c r="V48" s="58" t="n">
        <f aca="false">IF($E48="Pending","",I48*U48)</f>
        <v>194662.8</v>
      </c>
      <c r="W48" s="59" t="n">
        <f aca="false">IF($E48="Pending","",IF(T48&lt;=0,"No payback",V48/T48))</f>
        <v>6.37126833220966</v>
      </c>
      <c r="X48" s="62" t="n">
        <f aca="false">INDEX(Inputs!$C$13:$E$13,1,$D48)</f>
        <v>0.13096</v>
      </c>
      <c r="Y48" s="63" t="n">
        <f aca="false">IF($E48="Pending","",K48*X48/1000)</f>
        <v>26.124701175136</v>
      </c>
    </row>
    <row r="49" customFormat="false" ht="15" hidden="false" customHeight="true" outlineLevel="0" collapsed="false">
      <c r="A49" s="44" t="n">
        <v>40</v>
      </c>
      <c r="B49" s="44" t="s">
        <v>200</v>
      </c>
      <c r="C49" s="44" t="s">
        <v>62</v>
      </c>
      <c r="D49" s="44" t="n">
        <v>3</v>
      </c>
      <c r="E49" s="45" t="str">
        <f aca="false">Results!$I$20</f>
        <v>Sized</v>
      </c>
      <c r="F49" s="32" t="n">
        <f aca="false">Results!$G$20</f>
        <v>2351</v>
      </c>
      <c r="G49" s="46" t="n">
        <f aca="false">INDEX(Inputs!$C$5:$E$5,1,$D49)</f>
        <v>0.462</v>
      </c>
      <c r="H49" s="47" t="n">
        <f aca="false">INDEX(Inputs!$C$6:$E$6,1,$D49)</f>
        <v>230</v>
      </c>
      <c r="I49" s="48" t="n">
        <f aca="false">IF($E49="Pending","",F49*G49*H49/1000)</f>
        <v>249.81726</v>
      </c>
      <c r="J49" s="49" t="n">
        <f aca="false">INDEX(Inputs!$C$7:$E$7,1,$D49)</f>
        <v>922.3</v>
      </c>
      <c r="K49" s="48" t="n">
        <f aca="false">IF($E49="Pending","",I49*J49)</f>
        <v>230406.458898</v>
      </c>
      <c r="L49" s="50" t="n">
        <f aca="false">INDEX(Inputs!$C$8:$E$8,1,$D49)</f>
        <v>0.8</v>
      </c>
      <c r="M49" s="48" t="n">
        <f aca="false">IF($E49="Pending","",K49*L49)</f>
        <v>184325.1671184</v>
      </c>
      <c r="N49" s="48" t="n">
        <f aca="false">IF($E49="Pending","",K49*(1-L49))</f>
        <v>46081.2917796</v>
      </c>
      <c r="O49" s="51" t="n">
        <f aca="false">INDEX(Inputs!$C$9:$E$9,1,$D49)</f>
        <v>24.51</v>
      </c>
      <c r="P49" s="49" t="n">
        <f aca="false">INDEX(Inputs!$C$10:$E$10,1,$D49)</f>
        <v>4.1</v>
      </c>
      <c r="Q49" s="48" t="n">
        <f aca="false">IF($E49="Pending","",(M49*O49+N49*P49)/100)</f>
        <v>47067.4314236834</v>
      </c>
      <c r="R49" s="49" t="n">
        <f aca="false">INDEX(Inputs!$C$12:$E$12,1,$D49)</f>
        <v>7.6</v>
      </c>
      <c r="S49" s="48" t="n">
        <f aca="false">IF($E49="Pending","",I49*R49)</f>
        <v>1898.611176</v>
      </c>
      <c r="T49" s="48" t="n">
        <f aca="false">IF($E49="Pending","",Q49-S49)</f>
        <v>45168.8202476834</v>
      </c>
      <c r="U49" s="48" t="n">
        <f aca="false">INDEX(Inputs!$C$11:$E$11,1,$D49)</f>
        <v>700</v>
      </c>
      <c r="V49" s="48" t="n">
        <f aca="false">IF($E49="Pending","",I49*U49)</f>
        <v>174872.082</v>
      </c>
      <c r="W49" s="49" t="n">
        <f aca="false">IF($E49="Pending","",IF(T49&lt;=0,"No payback",V49/T49))</f>
        <v>3.87152201543206</v>
      </c>
      <c r="X49" s="52" t="n">
        <f aca="false">INDEX(Inputs!$C$13:$E$13,1,$D49)</f>
        <v>0.13096</v>
      </c>
      <c r="Y49" s="53" t="n">
        <f aca="false">IF($E49="Pending","",K49*X49/1000)</f>
        <v>30.1740298572821</v>
      </c>
    </row>
    <row r="50" customFormat="false" ht="15" hidden="false" customHeight="true" outlineLevel="0" collapsed="false">
      <c r="A50" s="44" t="n">
        <v>22</v>
      </c>
      <c r="B50" s="44" t="s">
        <v>201</v>
      </c>
      <c r="C50" s="44" t="s">
        <v>60</v>
      </c>
      <c r="D50" s="44" t="n">
        <v>1</v>
      </c>
      <c r="E50" s="45" t="str">
        <f aca="false">Results!$I$21</f>
        <v>Sized</v>
      </c>
      <c r="F50" s="32" t="n">
        <f aca="false">Results!$G$21</f>
        <v>2542</v>
      </c>
      <c r="G50" s="46" t="n">
        <f aca="false">INDEX(Inputs!$C$5:$E$5,1,$D50)</f>
        <v>0.294</v>
      </c>
      <c r="H50" s="47" t="n">
        <f aca="false">INDEX(Inputs!$C$6:$E$6,1,$D50)</f>
        <v>230</v>
      </c>
      <c r="I50" s="48" t="n">
        <f aca="false">IF($E50="Pending","",F50*G50*H50/1000)</f>
        <v>171.89004</v>
      </c>
      <c r="J50" s="49" t="n">
        <f aca="false">INDEX(Inputs!$C$7:$E$7,1,$D50)</f>
        <v>922.3</v>
      </c>
      <c r="K50" s="48" t="n">
        <f aca="false">IF($E50="Pending","",I50*J50)</f>
        <v>158534.183892</v>
      </c>
      <c r="L50" s="50" t="n">
        <f aca="false">INDEX(Inputs!$C$8:$E$8,1,$D50)</f>
        <v>0.4</v>
      </c>
      <c r="M50" s="48" t="n">
        <f aca="false">IF($E50="Pending","",K50*L50)</f>
        <v>63413.6735568</v>
      </c>
      <c r="N50" s="48" t="n">
        <f aca="false">IF($E50="Pending","",K50*(1-L50))</f>
        <v>95120.5103352</v>
      </c>
      <c r="O50" s="51" t="n">
        <f aca="false">INDEX(Inputs!$C$9:$E$9,1,$D50)</f>
        <v>24.51</v>
      </c>
      <c r="P50" s="49" t="n">
        <f aca="false">INDEX(Inputs!$C$10:$E$10,1,$D50)</f>
        <v>3</v>
      </c>
      <c r="Q50" s="48" t="n">
        <f aca="false">IF($E50="Pending","",(M50*O50+N50*P50)/100)</f>
        <v>18396.3066988277</v>
      </c>
      <c r="R50" s="49" t="n">
        <f aca="false">INDEX(Inputs!$C$12:$E$12,1,$D50)</f>
        <v>11.4</v>
      </c>
      <c r="S50" s="48" t="n">
        <f aca="false">IF($E50="Pending","",I50*R50)</f>
        <v>1959.546456</v>
      </c>
      <c r="T50" s="48" t="n">
        <f aca="false">IF($E50="Pending","",Q50-S50)</f>
        <v>16436.7602428277</v>
      </c>
      <c r="U50" s="48" t="n">
        <f aca="false">INDEX(Inputs!$C$11:$E$11,1,$D50)</f>
        <v>1100</v>
      </c>
      <c r="V50" s="48" t="n">
        <f aca="false">IF($E50="Pending","",I50*U50)</f>
        <v>189079.044</v>
      </c>
      <c r="W50" s="49" t="n">
        <f aca="false">IF($E50="Pending","",IF(T50&lt;=0,"No payback",V50/T50))</f>
        <v>11.50342532267</v>
      </c>
      <c r="X50" s="52" t="n">
        <f aca="false">INDEX(Inputs!$C$13:$E$13,1,$D50)</f>
        <v>0.13096</v>
      </c>
      <c r="Y50" s="53" t="n">
        <f aca="false">IF($E50="Pending","",K50*X50/1000)</f>
        <v>20.7616367224963</v>
      </c>
    </row>
    <row r="51" customFormat="false" ht="15" hidden="false" customHeight="true" outlineLevel="0" collapsed="false">
      <c r="A51" s="54" t="n">
        <v>22</v>
      </c>
      <c r="B51" s="54" t="s">
        <v>201</v>
      </c>
      <c r="C51" s="54" t="s">
        <v>61</v>
      </c>
      <c r="D51" s="54" t="n">
        <v>2</v>
      </c>
      <c r="E51" s="55" t="str">
        <f aca="false">Results!$I$21</f>
        <v>Sized</v>
      </c>
      <c r="F51" s="33" t="n">
        <f aca="false">Results!$G$21</f>
        <v>2542</v>
      </c>
      <c r="G51" s="56" t="n">
        <f aca="false">INDEX(Inputs!$C$5:$E$5,1,$D51)</f>
        <v>0.4</v>
      </c>
      <c r="H51" s="57" t="n">
        <f aca="false">INDEX(Inputs!$C$6:$E$6,1,$D51)</f>
        <v>230</v>
      </c>
      <c r="I51" s="58" t="n">
        <f aca="false">IF($E51="Pending","",F51*G51*H51/1000)</f>
        <v>233.864</v>
      </c>
      <c r="J51" s="59" t="n">
        <f aca="false">INDEX(Inputs!$C$7:$E$7,1,$D51)</f>
        <v>922.3</v>
      </c>
      <c r="K51" s="58" t="n">
        <f aca="false">IF($E51="Pending","",I51*J51)</f>
        <v>215692.7672</v>
      </c>
      <c r="L51" s="60" t="n">
        <f aca="false">INDEX(Inputs!$C$8:$E$8,1,$D51)</f>
        <v>0.6</v>
      </c>
      <c r="M51" s="58" t="n">
        <f aca="false">IF($E51="Pending","",K51*L51)</f>
        <v>129415.66032</v>
      </c>
      <c r="N51" s="58" t="n">
        <f aca="false">IF($E51="Pending","",K51*(1-L51))</f>
        <v>86277.10688</v>
      </c>
      <c r="O51" s="61" t="n">
        <f aca="false">INDEX(Inputs!$C$9:$E$9,1,$D51)</f>
        <v>24.51</v>
      </c>
      <c r="P51" s="59" t="n">
        <f aca="false">INDEX(Inputs!$C$10:$E$10,1,$D51)</f>
        <v>4.1</v>
      </c>
      <c r="Q51" s="58" t="n">
        <f aca="false">IF($E51="Pending","",(M51*O51+N51*P51)/100)</f>
        <v>35257.139726512</v>
      </c>
      <c r="R51" s="59" t="n">
        <f aca="false">INDEX(Inputs!$C$12:$E$12,1,$D51)</f>
        <v>9.5</v>
      </c>
      <c r="S51" s="58" t="n">
        <f aca="false">IF($E51="Pending","",I51*R51)</f>
        <v>2221.708</v>
      </c>
      <c r="T51" s="58" t="n">
        <f aca="false">IF($E51="Pending","",Q51-S51)</f>
        <v>33035.431726512</v>
      </c>
      <c r="U51" s="58" t="n">
        <f aca="false">INDEX(Inputs!$C$11:$E$11,1,$D51)</f>
        <v>900</v>
      </c>
      <c r="V51" s="58" t="n">
        <f aca="false">IF($E51="Pending","",I51*U51)</f>
        <v>210477.6</v>
      </c>
      <c r="W51" s="59" t="n">
        <f aca="false">IF($E51="Pending","",IF(T51&lt;=0,"No payback",V51/T51))</f>
        <v>6.37126833220965</v>
      </c>
      <c r="X51" s="62" t="n">
        <f aca="false">INDEX(Inputs!$C$13:$E$13,1,$D51)</f>
        <v>0.13096</v>
      </c>
      <c r="Y51" s="63" t="n">
        <f aca="false">IF($E51="Pending","",K51*X51/1000)</f>
        <v>28.247124792512</v>
      </c>
    </row>
    <row r="52" customFormat="false" ht="15" hidden="false" customHeight="true" outlineLevel="0" collapsed="false">
      <c r="A52" s="44" t="n">
        <v>22</v>
      </c>
      <c r="B52" s="44" t="s">
        <v>201</v>
      </c>
      <c r="C52" s="44" t="s">
        <v>62</v>
      </c>
      <c r="D52" s="44" t="n">
        <v>3</v>
      </c>
      <c r="E52" s="45" t="str">
        <f aca="false">Results!$I$21</f>
        <v>Sized</v>
      </c>
      <c r="F52" s="32" t="n">
        <f aca="false">Results!$G$21</f>
        <v>2542</v>
      </c>
      <c r="G52" s="46" t="n">
        <f aca="false">INDEX(Inputs!$C$5:$E$5,1,$D52)</f>
        <v>0.462</v>
      </c>
      <c r="H52" s="47" t="n">
        <f aca="false">INDEX(Inputs!$C$6:$E$6,1,$D52)</f>
        <v>230</v>
      </c>
      <c r="I52" s="48" t="n">
        <f aca="false">IF($E52="Pending","",F52*G52*H52/1000)</f>
        <v>270.11292</v>
      </c>
      <c r="J52" s="49" t="n">
        <f aca="false">INDEX(Inputs!$C$7:$E$7,1,$D52)</f>
        <v>922.3</v>
      </c>
      <c r="K52" s="48" t="n">
        <f aca="false">IF($E52="Pending","",I52*J52)</f>
        <v>249125.146116</v>
      </c>
      <c r="L52" s="50" t="n">
        <f aca="false">INDEX(Inputs!$C$8:$E$8,1,$D52)</f>
        <v>0.8</v>
      </c>
      <c r="M52" s="48" t="n">
        <f aca="false">IF($E52="Pending","",K52*L52)</f>
        <v>199300.1168928</v>
      </c>
      <c r="N52" s="48" t="n">
        <f aca="false">IF($E52="Pending","",K52*(1-L52))</f>
        <v>49825.0292232</v>
      </c>
      <c r="O52" s="51" t="n">
        <f aca="false">INDEX(Inputs!$C$9:$E$9,1,$D52)</f>
        <v>24.51</v>
      </c>
      <c r="P52" s="49" t="n">
        <f aca="false">INDEX(Inputs!$C$10:$E$10,1,$D52)</f>
        <v>4.1</v>
      </c>
      <c r="Q52" s="48" t="n">
        <f aca="false">IF($E52="Pending","",(M52*O52+N52*P52)/100)</f>
        <v>50891.2848485765</v>
      </c>
      <c r="R52" s="49" t="n">
        <f aca="false">INDEX(Inputs!$C$12:$E$12,1,$D52)</f>
        <v>7.6</v>
      </c>
      <c r="S52" s="48" t="n">
        <f aca="false">IF($E52="Pending","",I52*R52)</f>
        <v>2052.858192</v>
      </c>
      <c r="T52" s="48" t="n">
        <f aca="false">IF($E52="Pending","",Q52-S52)</f>
        <v>48838.4266565765</v>
      </c>
      <c r="U52" s="48" t="n">
        <f aca="false">INDEX(Inputs!$C$11:$E$11,1,$D52)</f>
        <v>700</v>
      </c>
      <c r="V52" s="48" t="n">
        <f aca="false">IF($E52="Pending","",I52*U52)</f>
        <v>189079.044</v>
      </c>
      <c r="W52" s="49" t="n">
        <f aca="false">IF($E52="Pending","",IF(T52&lt;=0,"No payback",V52/T52))</f>
        <v>3.87152201543206</v>
      </c>
      <c r="X52" s="52" t="n">
        <f aca="false">INDEX(Inputs!$C$13:$E$13,1,$D52)</f>
        <v>0.13096</v>
      </c>
      <c r="Y52" s="53" t="n">
        <f aca="false">IF($E52="Pending","",K52*X52/1000)</f>
        <v>32.6254291353514</v>
      </c>
    </row>
    <row r="53" customFormat="false" ht="15" hidden="false" customHeight="true" outlineLevel="0" collapsed="false">
      <c r="A53" s="44" t="n">
        <v>99</v>
      </c>
      <c r="B53" s="44" t="s">
        <v>202</v>
      </c>
      <c r="C53" s="44" t="s">
        <v>60</v>
      </c>
      <c r="D53" s="44" t="n">
        <v>1</v>
      </c>
      <c r="E53" s="45" t="str">
        <f aca="false">Results!$I$22</f>
        <v>Sized</v>
      </c>
      <c r="F53" s="32" t="n">
        <f aca="false">Results!$G$22</f>
        <v>6954</v>
      </c>
      <c r="G53" s="46" t="n">
        <f aca="false">INDEX(Inputs!$C$5:$E$5,1,$D53)</f>
        <v>0.294</v>
      </c>
      <c r="H53" s="47" t="n">
        <f aca="false">INDEX(Inputs!$C$6:$E$6,1,$D53)</f>
        <v>230</v>
      </c>
      <c r="I53" s="48" t="n">
        <f aca="false">IF($E53="Pending","",F53*G53*H53/1000)</f>
        <v>470.22948</v>
      </c>
      <c r="J53" s="49" t="n">
        <f aca="false">INDEX(Inputs!$C$7:$E$7,1,$D53)</f>
        <v>922.3</v>
      </c>
      <c r="K53" s="48" t="n">
        <f aca="false">IF($E53="Pending","",I53*J53)</f>
        <v>433692.649404</v>
      </c>
      <c r="L53" s="50" t="n">
        <f aca="false">INDEX(Inputs!$C$8:$E$8,1,$D53)</f>
        <v>0.4</v>
      </c>
      <c r="M53" s="48" t="n">
        <f aca="false">IF($E53="Pending","",K53*L53)</f>
        <v>173477.0597616</v>
      </c>
      <c r="N53" s="48" t="n">
        <f aca="false">IF($E53="Pending","",K53*(1-L53))</f>
        <v>260215.5896424</v>
      </c>
      <c r="O53" s="51" t="n">
        <f aca="false">INDEX(Inputs!$C$9:$E$9,1,$D53)</f>
        <v>24.51</v>
      </c>
      <c r="P53" s="49" t="n">
        <f aca="false">INDEX(Inputs!$C$10:$E$10,1,$D53)</f>
        <v>3</v>
      </c>
      <c r="Q53" s="48" t="n">
        <f aca="false">IF($E53="Pending","",(M53*O53+N53*P53)/100)</f>
        <v>50325.6950368402</v>
      </c>
      <c r="R53" s="49" t="n">
        <f aca="false">INDEX(Inputs!$C$12:$E$12,1,$D53)</f>
        <v>11.4</v>
      </c>
      <c r="S53" s="48" t="n">
        <f aca="false">IF($E53="Pending","",I53*R53)</f>
        <v>5360.616072</v>
      </c>
      <c r="T53" s="48" t="n">
        <f aca="false">IF($E53="Pending","",Q53-S53)</f>
        <v>44965.0789648402</v>
      </c>
      <c r="U53" s="48" t="n">
        <f aca="false">INDEX(Inputs!$C$11:$E$11,1,$D53)</f>
        <v>1100</v>
      </c>
      <c r="V53" s="48" t="n">
        <f aca="false">IF($E53="Pending","",I53*U53)</f>
        <v>517252.428</v>
      </c>
      <c r="W53" s="49" t="n">
        <f aca="false">IF($E53="Pending","",IF(T53&lt;=0,"No payback",V53/T53))</f>
        <v>11.50342532267</v>
      </c>
      <c r="X53" s="52" t="n">
        <f aca="false">INDEX(Inputs!$C$13:$E$13,1,$D53)</f>
        <v>0.13096</v>
      </c>
      <c r="Y53" s="53" t="n">
        <f aca="false">IF($E53="Pending","",K53*X53/1000)</f>
        <v>56.7963893659478</v>
      </c>
    </row>
    <row r="54" customFormat="false" ht="15" hidden="false" customHeight="true" outlineLevel="0" collapsed="false">
      <c r="A54" s="54" t="n">
        <v>99</v>
      </c>
      <c r="B54" s="54" t="s">
        <v>202</v>
      </c>
      <c r="C54" s="54" t="s">
        <v>61</v>
      </c>
      <c r="D54" s="54" t="n">
        <v>2</v>
      </c>
      <c r="E54" s="55" t="str">
        <f aca="false">Results!$I$22</f>
        <v>Sized</v>
      </c>
      <c r="F54" s="33" t="n">
        <f aca="false">Results!$G$22</f>
        <v>6954</v>
      </c>
      <c r="G54" s="56" t="n">
        <f aca="false">INDEX(Inputs!$C$5:$E$5,1,$D54)</f>
        <v>0.4</v>
      </c>
      <c r="H54" s="57" t="n">
        <f aca="false">INDEX(Inputs!$C$6:$E$6,1,$D54)</f>
        <v>230</v>
      </c>
      <c r="I54" s="58" t="n">
        <f aca="false">IF($E54="Pending","",F54*G54*H54/1000)</f>
        <v>639.768</v>
      </c>
      <c r="J54" s="59" t="n">
        <f aca="false">INDEX(Inputs!$C$7:$E$7,1,$D54)</f>
        <v>922.3</v>
      </c>
      <c r="K54" s="58" t="n">
        <f aca="false">IF($E54="Pending","",I54*J54)</f>
        <v>590058.0264</v>
      </c>
      <c r="L54" s="60" t="n">
        <f aca="false">INDEX(Inputs!$C$8:$E$8,1,$D54)</f>
        <v>0.6</v>
      </c>
      <c r="M54" s="58" t="n">
        <f aca="false">IF($E54="Pending","",K54*L54)</f>
        <v>354034.81584</v>
      </c>
      <c r="N54" s="58" t="n">
        <f aca="false">IF($E54="Pending","",K54*(1-L54))</f>
        <v>236023.21056</v>
      </c>
      <c r="O54" s="61" t="n">
        <f aca="false">INDEX(Inputs!$C$9:$E$9,1,$D54)</f>
        <v>24.51</v>
      </c>
      <c r="P54" s="59" t="n">
        <f aca="false">INDEX(Inputs!$C$10:$E$10,1,$D54)</f>
        <v>4.1</v>
      </c>
      <c r="Q54" s="58" t="n">
        <f aca="false">IF($E54="Pending","",(M54*O54+N54*P54)/100)</f>
        <v>96450.884995344</v>
      </c>
      <c r="R54" s="59" t="n">
        <f aca="false">INDEX(Inputs!$C$12:$E$12,1,$D54)</f>
        <v>9.5</v>
      </c>
      <c r="S54" s="58" t="n">
        <f aca="false">IF($E54="Pending","",I54*R54)</f>
        <v>6077.796</v>
      </c>
      <c r="T54" s="58" t="n">
        <f aca="false">IF($E54="Pending","",Q54-S54)</f>
        <v>90373.088995344</v>
      </c>
      <c r="U54" s="58" t="n">
        <f aca="false">INDEX(Inputs!$C$11:$E$11,1,$D54)</f>
        <v>900</v>
      </c>
      <c r="V54" s="58" t="n">
        <f aca="false">IF($E54="Pending","",I54*U54)</f>
        <v>575791.2</v>
      </c>
      <c r="W54" s="59" t="n">
        <f aca="false">IF($E54="Pending","",IF(T54&lt;=0,"No payback",V54/T54))</f>
        <v>6.37126833220966</v>
      </c>
      <c r="X54" s="62" t="n">
        <f aca="false">INDEX(Inputs!$C$13:$E$13,1,$D54)</f>
        <v>0.13096</v>
      </c>
      <c r="Y54" s="63" t="n">
        <f aca="false">IF($E54="Pending","",K54*X54/1000)</f>
        <v>77.273999137344</v>
      </c>
    </row>
    <row r="55" customFormat="false" ht="15" hidden="false" customHeight="true" outlineLevel="0" collapsed="false">
      <c r="A55" s="44" t="n">
        <v>99</v>
      </c>
      <c r="B55" s="44" t="s">
        <v>202</v>
      </c>
      <c r="C55" s="44" t="s">
        <v>62</v>
      </c>
      <c r="D55" s="44" t="n">
        <v>3</v>
      </c>
      <c r="E55" s="45" t="str">
        <f aca="false">Results!$I$22</f>
        <v>Sized</v>
      </c>
      <c r="F55" s="32" t="n">
        <f aca="false">Results!$G$22</f>
        <v>6954</v>
      </c>
      <c r="G55" s="46" t="n">
        <f aca="false">INDEX(Inputs!$C$5:$E$5,1,$D55)</f>
        <v>0.462</v>
      </c>
      <c r="H55" s="47" t="n">
        <f aca="false">INDEX(Inputs!$C$6:$E$6,1,$D55)</f>
        <v>230</v>
      </c>
      <c r="I55" s="48" t="n">
        <f aca="false">IF($E55="Pending","",F55*G55*H55/1000)</f>
        <v>738.93204</v>
      </c>
      <c r="J55" s="49" t="n">
        <f aca="false">INDEX(Inputs!$C$7:$E$7,1,$D55)</f>
        <v>922.3</v>
      </c>
      <c r="K55" s="48" t="n">
        <f aca="false">IF($E55="Pending","",I55*J55)</f>
        <v>681517.020492</v>
      </c>
      <c r="L55" s="50" t="n">
        <f aca="false">INDEX(Inputs!$C$8:$E$8,1,$D55)</f>
        <v>0.8</v>
      </c>
      <c r="M55" s="48" t="n">
        <f aca="false">IF($E55="Pending","",K55*L55)</f>
        <v>545213.6163936</v>
      </c>
      <c r="N55" s="48" t="n">
        <f aca="false">IF($E55="Pending","",K55*(1-L55))</f>
        <v>136303.4040984</v>
      </c>
      <c r="O55" s="51" t="n">
        <f aca="false">INDEX(Inputs!$C$9:$E$9,1,$D55)</f>
        <v>24.51</v>
      </c>
      <c r="P55" s="49" t="n">
        <f aca="false">INDEX(Inputs!$C$10:$E$10,1,$D55)</f>
        <v>4.1</v>
      </c>
      <c r="Q55" s="48" t="n">
        <f aca="false">IF($E55="Pending","",(M55*O55+N55*P55)/100)</f>
        <v>139220.296946106</v>
      </c>
      <c r="R55" s="49" t="n">
        <f aca="false">INDEX(Inputs!$C$12:$E$12,1,$D55)</f>
        <v>7.6</v>
      </c>
      <c r="S55" s="48" t="n">
        <f aca="false">IF($E55="Pending","",I55*R55)</f>
        <v>5615.883504</v>
      </c>
      <c r="T55" s="48" t="n">
        <f aca="false">IF($E55="Pending","",Q55-S55)</f>
        <v>133604.413442106</v>
      </c>
      <c r="U55" s="48" t="n">
        <f aca="false">INDEX(Inputs!$C$11:$E$11,1,$D55)</f>
        <v>700</v>
      </c>
      <c r="V55" s="48" t="n">
        <f aca="false">IF($E55="Pending","",I55*U55)</f>
        <v>517252.428</v>
      </c>
      <c r="W55" s="49" t="n">
        <f aca="false">IF($E55="Pending","",IF(T55&lt;=0,"No payback",V55/T55))</f>
        <v>3.87152201543206</v>
      </c>
      <c r="X55" s="52" t="n">
        <f aca="false">INDEX(Inputs!$C$13:$E$13,1,$D55)</f>
        <v>0.13096</v>
      </c>
      <c r="Y55" s="53" t="n">
        <f aca="false">IF($E55="Pending","",K55*X55/1000)</f>
        <v>89.2514690036323</v>
      </c>
    </row>
    <row r="56" customFormat="false" ht="15" hidden="false" customHeight="true" outlineLevel="0" collapsed="false">
      <c r="A56" s="44" t="n">
        <v>103</v>
      </c>
      <c r="B56" s="44" t="s">
        <v>204</v>
      </c>
      <c r="C56" s="44" t="s">
        <v>60</v>
      </c>
      <c r="D56" s="44" t="n">
        <v>1</v>
      </c>
      <c r="E56" s="45" t="str">
        <f aca="false">Results!$I$23</f>
        <v>Sized</v>
      </c>
      <c r="F56" s="32" t="n">
        <f aca="false">Results!$G$23</f>
        <v>4584</v>
      </c>
      <c r="G56" s="46" t="n">
        <f aca="false">INDEX(Inputs!$C$5:$E$5,1,$D56)</f>
        <v>0.294</v>
      </c>
      <c r="H56" s="47" t="n">
        <f aca="false">INDEX(Inputs!$C$6:$E$6,1,$D56)</f>
        <v>230</v>
      </c>
      <c r="I56" s="48" t="n">
        <f aca="false">IF($E56="Pending","",F56*G56*H56/1000)</f>
        <v>309.97008</v>
      </c>
      <c r="J56" s="49" t="n">
        <f aca="false">INDEX(Inputs!$C$7:$E$7,1,$D56)</f>
        <v>922.3</v>
      </c>
      <c r="K56" s="48" t="n">
        <f aca="false">IF($E56="Pending","",I56*J56)</f>
        <v>285885.404784</v>
      </c>
      <c r="L56" s="50" t="n">
        <f aca="false">INDEX(Inputs!$C$8:$E$8,1,$D56)</f>
        <v>0.4</v>
      </c>
      <c r="M56" s="48" t="n">
        <f aca="false">IF($E56="Pending","",K56*L56)</f>
        <v>114354.1619136</v>
      </c>
      <c r="N56" s="48" t="n">
        <f aca="false">IF($E56="Pending","",K56*(1-L56))</f>
        <v>171531.2428704</v>
      </c>
      <c r="O56" s="51" t="n">
        <f aca="false">INDEX(Inputs!$C$9:$E$9,1,$D56)</f>
        <v>24.51</v>
      </c>
      <c r="P56" s="49" t="n">
        <f aca="false">INDEX(Inputs!$C$10:$E$10,1,$D56)</f>
        <v>3</v>
      </c>
      <c r="Q56" s="48" t="n">
        <f aca="false">IF($E56="Pending","",(M56*O56+N56*P56)/100)</f>
        <v>33174.1423711354</v>
      </c>
      <c r="R56" s="49" t="n">
        <f aca="false">INDEX(Inputs!$C$12:$E$12,1,$D56)</f>
        <v>11.4</v>
      </c>
      <c r="S56" s="48" t="n">
        <f aca="false">IF($E56="Pending","",I56*R56)</f>
        <v>3533.658912</v>
      </c>
      <c r="T56" s="48" t="n">
        <f aca="false">IF($E56="Pending","",Q56-S56)</f>
        <v>29640.4834591354</v>
      </c>
      <c r="U56" s="48" t="n">
        <f aca="false">INDEX(Inputs!$C$11:$E$11,1,$D56)</f>
        <v>1100</v>
      </c>
      <c r="V56" s="48" t="n">
        <f aca="false">IF($E56="Pending","",I56*U56)</f>
        <v>340967.088</v>
      </c>
      <c r="W56" s="49" t="n">
        <f aca="false">IF($E56="Pending","",IF(T56&lt;=0,"No payback",V56/T56))</f>
        <v>11.50342532267</v>
      </c>
      <c r="X56" s="52" t="n">
        <f aca="false">INDEX(Inputs!$C$13:$E$13,1,$D56)</f>
        <v>0.13096</v>
      </c>
      <c r="Y56" s="53" t="n">
        <f aca="false">IF($E56="Pending","",K56*X56/1000)</f>
        <v>37.4395526105126</v>
      </c>
    </row>
    <row r="57" customFormat="false" ht="15" hidden="false" customHeight="true" outlineLevel="0" collapsed="false">
      <c r="A57" s="54" t="n">
        <v>103</v>
      </c>
      <c r="B57" s="54" t="s">
        <v>204</v>
      </c>
      <c r="C57" s="54" t="s">
        <v>61</v>
      </c>
      <c r="D57" s="54" t="n">
        <v>2</v>
      </c>
      <c r="E57" s="55" t="str">
        <f aca="false">Results!$I$23</f>
        <v>Sized</v>
      </c>
      <c r="F57" s="33" t="n">
        <f aca="false">Results!$G$23</f>
        <v>4584</v>
      </c>
      <c r="G57" s="56" t="n">
        <f aca="false">INDEX(Inputs!$C$5:$E$5,1,$D57)</f>
        <v>0.4</v>
      </c>
      <c r="H57" s="57" t="n">
        <f aca="false">INDEX(Inputs!$C$6:$E$6,1,$D57)</f>
        <v>230</v>
      </c>
      <c r="I57" s="58" t="n">
        <f aca="false">IF($E57="Pending","",F57*G57*H57/1000)</f>
        <v>421.728</v>
      </c>
      <c r="J57" s="59" t="n">
        <f aca="false">INDEX(Inputs!$C$7:$E$7,1,$D57)</f>
        <v>922.3</v>
      </c>
      <c r="K57" s="58" t="n">
        <f aca="false">IF($E57="Pending","",I57*J57)</f>
        <v>388959.7344</v>
      </c>
      <c r="L57" s="60" t="n">
        <f aca="false">INDEX(Inputs!$C$8:$E$8,1,$D57)</f>
        <v>0.6</v>
      </c>
      <c r="M57" s="58" t="n">
        <f aca="false">IF($E57="Pending","",K57*L57)</f>
        <v>233375.84064</v>
      </c>
      <c r="N57" s="58" t="n">
        <f aca="false">IF($E57="Pending","",K57*(1-L57))</f>
        <v>155583.89376</v>
      </c>
      <c r="O57" s="61" t="n">
        <f aca="false">INDEX(Inputs!$C$9:$E$9,1,$D57)</f>
        <v>24.51</v>
      </c>
      <c r="P57" s="59" t="n">
        <f aca="false">INDEX(Inputs!$C$10:$E$10,1,$D57)</f>
        <v>4.1</v>
      </c>
      <c r="Q57" s="58" t="n">
        <f aca="false">IF($E57="Pending","",(M57*O57+N57*P57)/100)</f>
        <v>63579.358185024</v>
      </c>
      <c r="R57" s="59" t="n">
        <f aca="false">INDEX(Inputs!$C$12:$E$12,1,$D57)</f>
        <v>9.5</v>
      </c>
      <c r="S57" s="58" t="n">
        <f aca="false">IF($E57="Pending","",I57*R57)</f>
        <v>4006.416</v>
      </c>
      <c r="T57" s="58" t="n">
        <f aca="false">IF($E57="Pending","",Q57-S57)</f>
        <v>59572.942185024</v>
      </c>
      <c r="U57" s="58" t="n">
        <f aca="false">INDEX(Inputs!$C$11:$E$11,1,$D57)</f>
        <v>900</v>
      </c>
      <c r="V57" s="58" t="n">
        <f aca="false">IF($E57="Pending","",I57*U57)</f>
        <v>379555.2</v>
      </c>
      <c r="W57" s="59" t="n">
        <f aca="false">IF($E57="Pending","",IF(T57&lt;=0,"No payback",V57/T57))</f>
        <v>6.37126833220965</v>
      </c>
      <c r="X57" s="62" t="n">
        <f aca="false">INDEX(Inputs!$C$13:$E$13,1,$D57)</f>
        <v>0.13096</v>
      </c>
      <c r="Y57" s="63" t="n">
        <f aca="false">IF($E57="Pending","",K57*X57/1000)</f>
        <v>50.938166817024</v>
      </c>
    </row>
    <row r="58" customFormat="false" ht="15" hidden="false" customHeight="true" outlineLevel="0" collapsed="false">
      <c r="A58" s="44" t="n">
        <v>103</v>
      </c>
      <c r="B58" s="44" t="s">
        <v>204</v>
      </c>
      <c r="C58" s="44" t="s">
        <v>62</v>
      </c>
      <c r="D58" s="44" t="n">
        <v>3</v>
      </c>
      <c r="E58" s="45" t="str">
        <f aca="false">Results!$I$23</f>
        <v>Sized</v>
      </c>
      <c r="F58" s="32" t="n">
        <f aca="false">Results!$G$23</f>
        <v>4584</v>
      </c>
      <c r="G58" s="46" t="n">
        <f aca="false">INDEX(Inputs!$C$5:$E$5,1,$D58)</f>
        <v>0.462</v>
      </c>
      <c r="H58" s="47" t="n">
        <f aca="false">INDEX(Inputs!$C$6:$E$6,1,$D58)</f>
        <v>230</v>
      </c>
      <c r="I58" s="48" t="n">
        <f aca="false">IF($E58="Pending","",F58*G58*H58/1000)</f>
        <v>487.09584</v>
      </c>
      <c r="J58" s="49" t="n">
        <f aca="false">INDEX(Inputs!$C$7:$E$7,1,$D58)</f>
        <v>922.3</v>
      </c>
      <c r="K58" s="48" t="n">
        <f aca="false">IF($E58="Pending","",I58*J58)</f>
        <v>449248.493232</v>
      </c>
      <c r="L58" s="50" t="n">
        <f aca="false">INDEX(Inputs!$C$8:$E$8,1,$D58)</f>
        <v>0.8</v>
      </c>
      <c r="M58" s="48" t="n">
        <f aca="false">IF($E58="Pending","",K58*L58)</f>
        <v>359398.7945856</v>
      </c>
      <c r="N58" s="48" t="n">
        <f aca="false">IF($E58="Pending","",K58*(1-L58))</f>
        <v>89849.6986464</v>
      </c>
      <c r="O58" s="51" t="n">
        <f aca="false">INDEX(Inputs!$C$9:$E$9,1,$D58)</f>
        <v>24.51</v>
      </c>
      <c r="P58" s="49" t="n">
        <f aca="false">INDEX(Inputs!$C$10:$E$10,1,$D58)</f>
        <v>4.1</v>
      </c>
      <c r="Q58" s="48" t="n">
        <f aca="false">IF($E58="Pending","",(M58*O58+N58*P58)/100)</f>
        <v>91772.482197433</v>
      </c>
      <c r="R58" s="49" t="n">
        <f aca="false">INDEX(Inputs!$C$12:$E$12,1,$D58)</f>
        <v>7.6</v>
      </c>
      <c r="S58" s="48" t="n">
        <f aca="false">IF($E58="Pending","",I58*R58)</f>
        <v>3701.928384</v>
      </c>
      <c r="T58" s="48" t="n">
        <f aca="false">IF($E58="Pending","",Q58-S58)</f>
        <v>88070.553813433</v>
      </c>
      <c r="U58" s="48" t="n">
        <f aca="false">INDEX(Inputs!$C$11:$E$11,1,$D58)</f>
        <v>700</v>
      </c>
      <c r="V58" s="48" t="n">
        <f aca="false">IF($E58="Pending","",I58*U58)</f>
        <v>340967.088</v>
      </c>
      <c r="W58" s="49" t="n">
        <f aca="false">IF($E58="Pending","",IF(T58&lt;=0,"No payback",V58/T58))</f>
        <v>3.87152201543206</v>
      </c>
      <c r="X58" s="52" t="n">
        <f aca="false">INDEX(Inputs!$C$13:$E$13,1,$D58)</f>
        <v>0.13096</v>
      </c>
      <c r="Y58" s="53" t="n">
        <f aca="false">IF($E58="Pending","",K58*X58/1000)</f>
        <v>58.8335826736627</v>
      </c>
    </row>
    <row r="59" customFormat="false" ht="15" hidden="false" customHeight="true" outlineLevel="0" collapsed="false">
      <c r="A59" s="44" t="n">
        <v>61</v>
      </c>
      <c r="B59" s="44" t="s">
        <v>205</v>
      </c>
      <c r="C59" s="44" t="s">
        <v>60</v>
      </c>
      <c r="D59" s="44" t="n">
        <v>1</v>
      </c>
      <c r="E59" s="45" t="str">
        <f aca="false">Results!$I$24</f>
        <v>Sized</v>
      </c>
      <c r="F59" s="32" t="n">
        <f aca="false">Results!$G$24</f>
        <v>7218</v>
      </c>
      <c r="G59" s="46" t="n">
        <f aca="false">INDEX(Inputs!$C$5:$E$5,1,$D59)</f>
        <v>0.294</v>
      </c>
      <c r="H59" s="47" t="n">
        <f aca="false">INDEX(Inputs!$C$6:$E$6,1,$D59)</f>
        <v>230</v>
      </c>
      <c r="I59" s="48" t="n">
        <f aca="false">IF($E59="Pending","",F59*G59*H59/1000)</f>
        <v>488.08116</v>
      </c>
      <c r="J59" s="49" t="n">
        <f aca="false">INDEX(Inputs!$C$7:$E$7,1,$D59)</f>
        <v>922.3</v>
      </c>
      <c r="K59" s="48" t="n">
        <f aca="false">IF($E59="Pending","",I59*J59)</f>
        <v>450157.253868</v>
      </c>
      <c r="L59" s="50" t="n">
        <f aca="false">INDEX(Inputs!$C$8:$E$8,1,$D59)</f>
        <v>0.4</v>
      </c>
      <c r="M59" s="48" t="n">
        <f aca="false">IF($E59="Pending","",K59*L59)</f>
        <v>180062.9015472</v>
      </c>
      <c r="N59" s="48" t="n">
        <f aca="false">IF($E59="Pending","",K59*(1-L59))</f>
        <v>270094.3523208</v>
      </c>
      <c r="O59" s="51" t="n">
        <f aca="false">INDEX(Inputs!$C$9:$E$9,1,$D59)</f>
        <v>24.51</v>
      </c>
      <c r="P59" s="49" t="n">
        <f aca="false">INDEX(Inputs!$C$10:$E$10,1,$D59)</f>
        <v>3</v>
      </c>
      <c r="Q59" s="48" t="n">
        <f aca="false">IF($E59="Pending","",(M59*O59+N59*P59)/100)</f>
        <v>52236.2477388427</v>
      </c>
      <c r="R59" s="49" t="n">
        <f aca="false">INDEX(Inputs!$C$12:$E$12,1,$D59)</f>
        <v>11.4</v>
      </c>
      <c r="S59" s="48" t="n">
        <f aca="false">IF($E59="Pending","",I59*R59)</f>
        <v>5564.125224</v>
      </c>
      <c r="T59" s="48" t="n">
        <f aca="false">IF($E59="Pending","",Q59-S59)</f>
        <v>46672.1225148427</v>
      </c>
      <c r="U59" s="48" t="n">
        <f aca="false">INDEX(Inputs!$C$11:$E$11,1,$D59)</f>
        <v>1100</v>
      </c>
      <c r="V59" s="48" t="n">
        <f aca="false">IF($E59="Pending","",I59*U59)</f>
        <v>536889.276</v>
      </c>
      <c r="W59" s="49" t="n">
        <f aca="false">IF($E59="Pending","",IF(T59&lt;=0,"No payback",V59/T59))</f>
        <v>11.50342532267</v>
      </c>
      <c r="X59" s="52" t="n">
        <f aca="false">INDEX(Inputs!$C$13:$E$13,1,$D59)</f>
        <v>0.13096</v>
      </c>
      <c r="Y59" s="53" t="n">
        <f aca="false">IF($E59="Pending","",K59*X59/1000)</f>
        <v>58.9525939665533</v>
      </c>
    </row>
    <row r="60" customFormat="false" ht="15" hidden="false" customHeight="true" outlineLevel="0" collapsed="false">
      <c r="A60" s="54" t="n">
        <v>61</v>
      </c>
      <c r="B60" s="54" t="s">
        <v>205</v>
      </c>
      <c r="C60" s="54" t="s">
        <v>61</v>
      </c>
      <c r="D60" s="54" t="n">
        <v>2</v>
      </c>
      <c r="E60" s="55" t="str">
        <f aca="false">Results!$I$24</f>
        <v>Sized</v>
      </c>
      <c r="F60" s="33" t="n">
        <f aca="false">Results!$G$24</f>
        <v>7218</v>
      </c>
      <c r="G60" s="56" t="n">
        <f aca="false">INDEX(Inputs!$C$5:$E$5,1,$D60)</f>
        <v>0.4</v>
      </c>
      <c r="H60" s="57" t="n">
        <f aca="false">INDEX(Inputs!$C$6:$E$6,1,$D60)</f>
        <v>230</v>
      </c>
      <c r="I60" s="58" t="n">
        <f aca="false">IF($E60="Pending","",F60*G60*H60/1000)</f>
        <v>664.056</v>
      </c>
      <c r="J60" s="59" t="n">
        <f aca="false">INDEX(Inputs!$C$7:$E$7,1,$D60)</f>
        <v>922.3</v>
      </c>
      <c r="K60" s="58" t="n">
        <f aca="false">IF($E60="Pending","",I60*J60)</f>
        <v>612458.8488</v>
      </c>
      <c r="L60" s="60" t="n">
        <f aca="false">INDEX(Inputs!$C$8:$E$8,1,$D60)</f>
        <v>0.6</v>
      </c>
      <c r="M60" s="58" t="n">
        <f aca="false">IF($E60="Pending","",K60*L60)</f>
        <v>367475.30928</v>
      </c>
      <c r="N60" s="58" t="n">
        <f aca="false">IF($E60="Pending","",K60*(1-L60))</f>
        <v>244983.53952</v>
      </c>
      <c r="O60" s="61" t="n">
        <f aca="false">INDEX(Inputs!$C$9:$E$9,1,$D60)</f>
        <v>24.51</v>
      </c>
      <c r="P60" s="59" t="n">
        <f aca="false">INDEX(Inputs!$C$10:$E$10,1,$D60)</f>
        <v>4.1</v>
      </c>
      <c r="Q60" s="58" t="n">
        <f aca="false">IF($E60="Pending","",(M60*O60+N60*P60)/100)</f>
        <v>100112.523424848</v>
      </c>
      <c r="R60" s="59" t="n">
        <f aca="false">INDEX(Inputs!$C$12:$E$12,1,$D60)</f>
        <v>9.5</v>
      </c>
      <c r="S60" s="58" t="n">
        <f aca="false">IF($E60="Pending","",I60*R60)</f>
        <v>6308.532</v>
      </c>
      <c r="T60" s="58" t="n">
        <f aca="false">IF($E60="Pending","",Q60-S60)</f>
        <v>93803.991424848</v>
      </c>
      <c r="U60" s="58" t="n">
        <f aca="false">INDEX(Inputs!$C$11:$E$11,1,$D60)</f>
        <v>900</v>
      </c>
      <c r="V60" s="58" t="n">
        <f aca="false">IF($E60="Pending","",I60*U60)</f>
        <v>597650.4</v>
      </c>
      <c r="W60" s="59" t="n">
        <f aca="false">IF($E60="Pending","",IF(T60&lt;=0,"No payback",V60/T60))</f>
        <v>6.37126833220965</v>
      </c>
      <c r="X60" s="62" t="n">
        <f aca="false">INDEX(Inputs!$C$13:$E$13,1,$D60)</f>
        <v>0.13096</v>
      </c>
      <c r="Y60" s="63" t="n">
        <f aca="false">IF($E60="Pending","",K60*X60/1000)</f>
        <v>80.207610838848</v>
      </c>
    </row>
    <row r="61" customFormat="false" ht="15" hidden="false" customHeight="true" outlineLevel="0" collapsed="false">
      <c r="A61" s="44" t="n">
        <v>61</v>
      </c>
      <c r="B61" s="44" t="s">
        <v>205</v>
      </c>
      <c r="C61" s="44" t="s">
        <v>62</v>
      </c>
      <c r="D61" s="44" t="n">
        <v>3</v>
      </c>
      <c r="E61" s="45" t="str">
        <f aca="false">Results!$I$24</f>
        <v>Sized</v>
      </c>
      <c r="F61" s="32" t="n">
        <f aca="false">Results!$G$24</f>
        <v>7218</v>
      </c>
      <c r="G61" s="46" t="n">
        <f aca="false">INDEX(Inputs!$C$5:$E$5,1,$D61)</f>
        <v>0.462</v>
      </c>
      <c r="H61" s="47" t="n">
        <f aca="false">INDEX(Inputs!$C$6:$E$6,1,$D61)</f>
        <v>230</v>
      </c>
      <c r="I61" s="48" t="n">
        <f aca="false">IF($E61="Pending","",F61*G61*H61/1000)</f>
        <v>766.98468</v>
      </c>
      <c r="J61" s="49" t="n">
        <f aca="false">INDEX(Inputs!$C$7:$E$7,1,$D61)</f>
        <v>922.3</v>
      </c>
      <c r="K61" s="48" t="n">
        <f aca="false">IF($E61="Pending","",I61*J61)</f>
        <v>707389.970364</v>
      </c>
      <c r="L61" s="50" t="n">
        <f aca="false">INDEX(Inputs!$C$8:$E$8,1,$D61)</f>
        <v>0.8</v>
      </c>
      <c r="M61" s="48" t="n">
        <f aca="false">IF($E61="Pending","",K61*L61)</f>
        <v>565911.9762912</v>
      </c>
      <c r="N61" s="48" t="n">
        <f aca="false">IF($E61="Pending","",K61*(1-L61))</f>
        <v>141477.9940728</v>
      </c>
      <c r="O61" s="51" t="n">
        <f aca="false">INDEX(Inputs!$C$9:$E$9,1,$D61)</f>
        <v>24.51</v>
      </c>
      <c r="P61" s="49" t="n">
        <f aca="false">INDEX(Inputs!$C$10:$E$10,1,$D61)</f>
        <v>4.1</v>
      </c>
      <c r="Q61" s="48" t="n">
        <f aca="false">IF($E61="Pending","",(M61*O61+N61*P61)/100)</f>
        <v>144505.623145958</v>
      </c>
      <c r="R61" s="49" t="n">
        <f aca="false">INDEX(Inputs!$C$12:$E$12,1,$D61)</f>
        <v>7.6</v>
      </c>
      <c r="S61" s="48" t="n">
        <f aca="false">IF($E61="Pending","",I61*R61)</f>
        <v>5829.083568</v>
      </c>
      <c r="T61" s="48" t="n">
        <f aca="false">IF($E61="Pending","",Q61-S61)</f>
        <v>138676.539577958</v>
      </c>
      <c r="U61" s="48" t="n">
        <f aca="false">INDEX(Inputs!$C$11:$E$11,1,$D61)</f>
        <v>700</v>
      </c>
      <c r="V61" s="48" t="n">
        <f aca="false">IF($E61="Pending","",I61*U61)</f>
        <v>536889.276</v>
      </c>
      <c r="W61" s="49" t="n">
        <f aca="false">IF($E61="Pending","",IF(T61&lt;=0,"No payback",V61/T61))</f>
        <v>3.87152201543206</v>
      </c>
      <c r="X61" s="52" t="n">
        <f aca="false">INDEX(Inputs!$C$13:$E$13,1,$D61)</f>
        <v>0.13096</v>
      </c>
      <c r="Y61" s="53" t="n">
        <f aca="false">IF($E61="Pending","",K61*X61/1000)</f>
        <v>92.6397905188694</v>
      </c>
    </row>
    <row r="62" customFormat="false" ht="15" hidden="false" customHeight="true" outlineLevel="0" collapsed="false">
      <c r="A62" s="44" t="n">
        <v>52</v>
      </c>
      <c r="B62" s="44" t="s">
        <v>206</v>
      </c>
      <c r="C62" s="44" t="s">
        <v>60</v>
      </c>
      <c r="D62" s="44" t="n">
        <v>1</v>
      </c>
      <c r="E62" s="45" t="str">
        <f aca="false">Results!$I$25</f>
        <v>Sized</v>
      </c>
      <c r="F62" s="32" t="n">
        <f aca="false">Results!$G$25</f>
        <v>4354</v>
      </c>
      <c r="G62" s="46" t="n">
        <f aca="false">INDEX(Inputs!$C$5:$E$5,1,$D62)</f>
        <v>0.294</v>
      </c>
      <c r="H62" s="47" t="n">
        <f aca="false">INDEX(Inputs!$C$6:$E$6,1,$D62)</f>
        <v>230</v>
      </c>
      <c r="I62" s="48" t="n">
        <f aca="false">IF($E62="Pending","",F62*G62*H62/1000)</f>
        <v>294.41748</v>
      </c>
      <c r="J62" s="49" t="n">
        <f aca="false">INDEX(Inputs!$C$7:$E$7,1,$D62)</f>
        <v>922.3</v>
      </c>
      <c r="K62" s="48" t="n">
        <f aca="false">IF($E62="Pending","",I62*J62)</f>
        <v>271541.241804</v>
      </c>
      <c r="L62" s="50" t="n">
        <f aca="false">INDEX(Inputs!$C$8:$E$8,1,$D62)</f>
        <v>0.4</v>
      </c>
      <c r="M62" s="48" t="n">
        <f aca="false">IF($E62="Pending","",K62*L62)</f>
        <v>108616.4967216</v>
      </c>
      <c r="N62" s="48" t="n">
        <f aca="false">IF($E62="Pending","",K62*(1-L62))</f>
        <v>162924.7450824</v>
      </c>
      <c r="O62" s="51" t="n">
        <f aca="false">INDEX(Inputs!$C$9:$E$9,1,$D62)</f>
        <v>24.51</v>
      </c>
      <c r="P62" s="49" t="n">
        <f aca="false">INDEX(Inputs!$C$10:$E$10,1,$D62)</f>
        <v>3</v>
      </c>
      <c r="Q62" s="48" t="n">
        <f aca="false">IF($E62="Pending","",(M62*O62+N62*P62)/100)</f>
        <v>31509.6456989362</v>
      </c>
      <c r="R62" s="49" t="n">
        <f aca="false">INDEX(Inputs!$C$12:$E$12,1,$D62)</f>
        <v>11.4</v>
      </c>
      <c r="S62" s="48" t="n">
        <f aca="false">IF($E62="Pending","",I62*R62)</f>
        <v>3356.359272</v>
      </c>
      <c r="T62" s="48" t="n">
        <f aca="false">IF($E62="Pending","",Q62-S62)</f>
        <v>28153.2864269362</v>
      </c>
      <c r="U62" s="48" t="n">
        <f aca="false">INDEX(Inputs!$C$11:$E$11,1,$D62)</f>
        <v>1100</v>
      </c>
      <c r="V62" s="48" t="n">
        <f aca="false">IF($E62="Pending","",I62*U62)</f>
        <v>323859.228</v>
      </c>
      <c r="W62" s="49" t="n">
        <f aca="false">IF($E62="Pending","",IF(T62&lt;=0,"No payback",V62/T62))</f>
        <v>11.50342532267</v>
      </c>
      <c r="X62" s="52" t="n">
        <f aca="false">INDEX(Inputs!$C$13:$E$13,1,$D62)</f>
        <v>0.13096</v>
      </c>
      <c r="Y62" s="53" t="n">
        <f aca="false">IF($E62="Pending","",K62*X62/1000)</f>
        <v>35.5610410266518</v>
      </c>
    </row>
    <row r="63" customFormat="false" ht="15" hidden="false" customHeight="true" outlineLevel="0" collapsed="false">
      <c r="A63" s="54" t="n">
        <v>52</v>
      </c>
      <c r="B63" s="54" t="s">
        <v>206</v>
      </c>
      <c r="C63" s="54" t="s">
        <v>61</v>
      </c>
      <c r="D63" s="54" t="n">
        <v>2</v>
      </c>
      <c r="E63" s="55" t="str">
        <f aca="false">Results!$I$25</f>
        <v>Sized</v>
      </c>
      <c r="F63" s="33" t="n">
        <f aca="false">Results!$G$25</f>
        <v>4354</v>
      </c>
      <c r="G63" s="56" t="n">
        <f aca="false">INDEX(Inputs!$C$5:$E$5,1,$D63)</f>
        <v>0.4</v>
      </c>
      <c r="H63" s="57" t="n">
        <f aca="false">INDEX(Inputs!$C$6:$E$6,1,$D63)</f>
        <v>230</v>
      </c>
      <c r="I63" s="58" t="n">
        <f aca="false">IF($E63="Pending","",F63*G63*H63/1000)</f>
        <v>400.568</v>
      </c>
      <c r="J63" s="59" t="n">
        <f aca="false">INDEX(Inputs!$C$7:$E$7,1,$D63)</f>
        <v>922.3</v>
      </c>
      <c r="K63" s="58" t="n">
        <f aca="false">IF($E63="Pending","",I63*J63)</f>
        <v>369443.8664</v>
      </c>
      <c r="L63" s="60" t="n">
        <f aca="false">INDEX(Inputs!$C$8:$E$8,1,$D63)</f>
        <v>0.6</v>
      </c>
      <c r="M63" s="58" t="n">
        <f aca="false">IF($E63="Pending","",K63*L63)</f>
        <v>221666.31984</v>
      </c>
      <c r="N63" s="58" t="n">
        <f aca="false">IF($E63="Pending","",K63*(1-L63))</f>
        <v>147777.54656</v>
      </c>
      <c r="O63" s="61" t="n">
        <f aca="false">INDEX(Inputs!$C$9:$E$9,1,$D63)</f>
        <v>24.51</v>
      </c>
      <c r="P63" s="59" t="n">
        <f aca="false">INDEX(Inputs!$C$10:$E$10,1,$D63)</f>
        <v>4.1</v>
      </c>
      <c r="Q63" s="58" t="n">
        <f aca="false">IF($E63="Pending","",(M63*O63+N63*P63)/100)</f>
        <v>60389.294401744</v>
      </c>
      <c r="R63" s="59" t="n">
        <f aca="false">INDEX(Inputs!$C$12:$E$12,1,$D63)</f>
        <v>9.5</v>
      </c>
      <c r="S63" s="58" t="n">
        <f aca="false">IF($E63="Pending","",I63*R63)</f>
        <v>3805.396</v>
      </c>
      <c r="T63" s="58" t="n">
        <f aca="false">IF($E63="Pending","",Q63-S63)</f>
        <v>56583.898401744</v>
      </c>
      <c r="U63" s="58" t="n">
        <f aca="false">INDEX(Inputs!$C$11:$E$11,1,$D63)</f>
        <v>900</v>
      </c>
      <c r="V63" s="58" t="n">
        <f aca="false">IF($E63="Pending","",I63*U63)</f>
        <v>360511.2</v>
      </c>
      <c r="W63" s="59" t="n">
        <f aca="false">IF($E63="Pending","",IF(T63&lt;=0,"No payback",V63/T63))</f>
        <v>6.37126833220965</v>
      </c>
      <c r="X63" s="62" t="n">
        <f aca="false">INDEX(Inputs!$C$13:$E$13,1,$D63)</f>
        <v>0.13096</v>
      </c>
      <c r="Y63" s="63" t="n">
        <f aca="false">IF($E63="Pending","",K63*X63/1000)</f>
        <v>48.382368743744</v>
      </c>
    </row>
    <row r="64" customFormat="false" ht="15" hidden="false" customHeight="true" outlineLevel="0" collapsed="false">
      <c r="A64" s="44" t="n">
        <v>52</v>
      </c>
      <c r="B64" s="44" t="s">
        <v>206</v>
      </c>
      <c r="C64" s="44" t="s">
        <v>62</v>
      </c>
      <c r="D64" s="44" t="n">
        <v>3</v>
      </c>
      <c r="E64" s="45" t="str">
        <f aca="false">Results!$I$25</f>
        <v>Sized</v>
      </c>
      <c r="F64" s="32" t="n">
        <f aca="false">Results!$G$25</f>
        <v>4354</v>
      </c>
      <c r="G64" s="46" t="n">
        <f aca="false">INDEX(Inputs!$C$5:$E$5,1,$D64)</f>
        <v>0.462</v>
      </c>
      <c r="H64" s="47" t="n">
        <f aca="false">INDEX(Inputs!$C$6:$E$6,1,$D64)</f>
        <v>230</v>
      </c>
      <c r="I64" s="48" t="n">
        <f aca="false">IF($E64="Pending","",F64*G64*H64/1000)</f>
        <v>462.65604</v>
      </c>
      <c r="J64" s="49" t="n">
        <f aca="false">INDEX(Inputs!$C$7:$E$7,1,$D64)</f>
        <v>922.3</v>
      </c>
      <c r="K64" s="48" t="n">
        <f aca="false">IF($E64="Pending","",I64*J64)</f>
        <v>426707.665692</v>
      </c>
      <c r="L64" s="50" t="n">
        <f aca="false">INDEX(Inputs!$C$8:$E$8,1,$D64)</f>
        <v>0.8</v>
      </c>
      <c r="M64" s="48" t="n">
        <f aca="false">IF($E64="Pending","",K64*L64)</f>
        <v>341366.1325536</v>
      </c>
      <c r="N64" s="48" t="n">
        <f aca="false">IF($E64="Pending","",K64*(1-L64))</f>
        <v>85341.5331384</v>
      </c>
      <c r="O64" s="51" t="n">
        <f aca="false">INDEX(Inputs!$C$9:$E$9,1,$D64)</f>
        <v>24.51</v>
      </c>
      <c r="P64" s="49" t="n">
        <f aca="false">INDEX(Inputs!$C$10:$E$10,1,$D64)</f>
        <v>4.1</v>
      </c>
      <c r="Q64" s="48" t="n">
        <f aca="false">IF($E64="Pending","",(M64*O64+N64*P64)/100)</f>
        <v>87167.8419475617</v>
      </c>
      <c r="R64" s="49" t="n">
        <f aca="false">INDEX(Inputs!$C$12:$E$12,1,$D64)</f>
        <v>7.6</v>
      </c>
      <c r="S64" s="48" t="n">
        <f aca="false">IF($E64="Pending","",I64*R64)</f>
        <v>3516.185904</v>
      </c>
      <c r="T64" s="48" t="n">
        <f aca="false">IF($E64="Pending","",Q64-S64)</f>
        <v>83651.6560435617</v>
      </c>
      <c r="U64" s="48" t="n">
        <f aca="false">INDEX(Inputs!$C$11:$E$11,1,$D64)</f>
        <v>700</v>
      </c>
      <c r="V64" s="48" t="n">
        <f aca="false">IF($E64="Pending","",I64*U64)</f>
        <v>323859.228</v>
      </c>
      <c r="W64" s="49" t="n">
        <f aca="false">IF($E64="Pending","",IF(T64&lt;=0,"No payback",V64/T64))</f>
        <v>3.87152201543206</v>
      </c>
      <c r="X64" s="52" t="n">
        <f aca="false">INDEX(Inputs!$C$13:$E$13,1,$D64)</f>
        <v>0.13096</v>
      </c>
      <c r="Y64" s="53" t="n">
        <f aca="false">IF($E64="Pending","",K64*X64/1000)</f>
        <v>55.8816358990243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2026-10-09T13:07:31Z</dcterms:created>
  <dc:creator>openpyxl</dc:creator>
  <dc:description/>
  <dc:language>en-US</dc:language>
  <cp:lastModifiedBy/>
  <dcterms:modified xsi:type="dcterms:W3CDTF">2026-10-10T16:03:23Z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